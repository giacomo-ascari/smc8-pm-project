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iaco\Desktop\smc8-pm-project\pitchTracking\"/>
    </mc:Choice>
  </mc:AlternateContent>
  <xr:revisionPtr revIDLastSave="0" documentId="13_ncr:1_{A7ECFF3F-8CDE-45B6-AE38-0755EB2306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ynotes" sheetId="1" r:id="rId1"/>
    <sheet name="pitch tracking results" sheetId="2" r:id="rId2"/>
    <sheet name="Foglio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N7" i="2"/>
  <c r="N3" i="2"/>
  <c r="N4" i="2"/>
  <c r="N5" i="2"/>
  <c r="N6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H11" i="1"/>
  <c r="H12" i="1"/>
  <c r="H13" i="1"/>
  <c r="H14" i="1"/>
  <c r="H15" i="1"/>
  <c r="H16" i="1"/>
  <c r="I16" i="1" s="1"/>
  <c r="H17" i="1"/>
  <c r="H18" i="1"/>
  <c r="H19" i="1"/>
  <c r="I19" i="1" s="1"/>
  <c r="H20" i="1"/>
  <c r="I20" i="1" s="1"/>
  <c r="H21" i="1"/>
  <c r="I21" i="1" s="1"/>
  <c r="H22" i="1"/>
  <c r="H23" i="1"/>
  <c r="H24" i="1"/>
  <c r="I24" i="1" s="1"/>
  <c r="H25" i="1"/>
  <c r="H26" i="1"/>
  <c r="H27" i="1"/>
  <c r="H28" i="1"/>
  <c r="H29" i="1"/>
  <c r="H30" i="1"/>
  <c r="H31" i="1"/>
  <c r="H32" i="1"/>
  <c r="H33" i="1"/>
  <c r="J33" i="1" s="1"/>
  <c r="H34" i="1"/>
  <c r="H35" i="1"/>
  <c r="I35" i="1" s="1"/>
  <c r="H36" i="1"/>
  <c r="I36" i="1" s="1"/>
  <c r="H37" i="1"/>
  <c r="H38" i="1"/>
  <c r="H39" i="1"/>
  <c r="H40" i="1"/>
  <c r="H41" i="1"/>
  <c r="H42" i="1"/>
  <c r="H43" i="1"/>
  <c r="I43" i="1" s="1"/>
  <c r="H44" i="1"/>
  <c r="H45" i="1"/>
  <c r="H46" i="1"/>
  <c r="H47" i="1"/>
  <c r="H48" i="1"/>
  <c r="I48" i="1" s="1"/>
  <c r="H49" i="1"/>
  <c r="H50" i="1"/>
  <c r="H51" i="1"/>
  <c r="H52" i="1"/>
  <c r="I52" i="1" s="1"/>
  <c r="H53" i="1"/>
  <c r="H54" i="1"/>
  <c r="I54" i="1" s="1"/>
  <c r="H55" i="1"/>
  <c r="H56" i="1"/>
  <c r="H57" i="1"/>
  <c r="J57" i="1" s="1"/>
  <c r="H58" i="1"/>
  <c r="H59" i="1"/>
  <c r="J59" i="1" s="1"/>
  <c r="H60" i="1"/>
  <c r="H61" i="1"/>
  <c r="H62" i="1"/>
  <c r="H63" i="1"/>
  <c r="H64" i="1"/>
  <c r="I64" i="1" s="1"/>
  <c r="H65" i="1"/>
  <c r="H66" i="1"/>
  <c r="H67" i="1"/>
  <c r="I67" i="1" s="1"/>
  <c r="H68" i="1"/>
  <c r="I68" i="1" s="1"/>
  <c r="H69" i="1"/>
  <c r="J69" i="1" s="1"/>
  <c r="H70" i="1"/>
  <c r="J70" i="1" s="1"/>
  <c r="H71" i="1"/>
  <c r="H72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I45" i="1" s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I69" i="1" s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3" i="1"/>
  <c r="M4" i="1"/>
  <c r="M5" i="1"/>
  <c r="M6" i="1"/>
  <c r="M7" i="1"/>
  <c r="M8" i="1"/>
  <c r="M9" i="1"/>
  <c r="M10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2" i="1"/>
  <c r="L50" i="1"/>
  <c r="D51" i="1"/>
  <c r="D52" i="1" s="1"/>
  <c r="D49" i="1"/>
  <c r="D48" i="1" s="1"/>
  <c r="D47" i="1" s="1"/>
  <c r="D46" i="1" s="1"/>
  <c r="D45" i="1" s="1"/>
  <c r="D44" i="1" s="1"/>
  <c r="D43" i="1" s="1"/>
  <c r="D42" i="1" s="1"/>
  <c r="D41" i="1" s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" i="1"/>
  <c r="F81" i="2" l="1"/>
  <c r="F82" i="2" s="1"/>
  <c r="F83" i="2" s="1"/>
  <c r="F84" i="2" s="1"/>
  <c r="F85" i="2" s="1"/>
  <c r="F86" i="2" s="1"/>
  <c r="J65" i="1"/>
  <c r="J41" i="1"/>
  <c r="I51" i="1"/>
  <c r="I27" i="1"/>
  <c r="J38" i="1"/>
  <c r="I49" i="1"/>
  <c r="I66" i="1"/>
  <c r="J50" i="1"/>
  <c r="I34" i="1"/>
  <c r="I18" i="1"/>
  <c r="I17" i="1"/>
  <c r="J63" i="1"/>
  <c r="I47" i="1"/>
  <c r="I31" i="1"/>
  <c r="I15" i="1"/>
  <c r="J62" i="1"/>
  <c r="I46" i="1"/>
  <c r="I30" i="1"/>
  <c r="J61" i="1"/>
  <c r="J45" i="1"/>
  <c r="I29" i="1"/>
  <c r="J32" i="1"/>
  <c r="J60" i="1"/>
  <c r="J44" i="1"/>
  <c r="I28" i="1"/>
  <c r="J58" i="1"/>
  <c r="I42" i="1"/>
  <c r="I26" i="1"/>
  <c r="I25" i="1"/>
  <c r="I57" i="1"/>
  <c r="J72" i="1"/>
  <c r="J56" i="1"/>
  <c r="J40" i="1"/>
  <c r="J71" i="1"/>
  <c r="I55" i="1"/>
  <c r="J39" i="1"/>
  <c r="I23" i="1"/>
  <c r="I33" i="1"/>
  <c r="I22" i="1"/>
  <c r="J53" i="1"/>
  <c r="I37" i="1"/>
  <c r="I44" i="1"/>
  <c r="I32" i="1"/>
  <c r="J43" i="1"/>
  <c r="J67" i="1"/>
  <c r="I41" i="1"/>
  <c r="I40" i="1"/>
  <c r="J64" i="1"/>
  <c r="I63" i="1"/>
  <c r="I39" i="1"/>
  <c r="I62" i="1"/>
  <c r="I50" i="1"/>
  <c r="I38" i="1"/>
  <c r="J49" i="1"/>
  <c r="J37" i="1"/>
  <c r="J66" i="1"/>
  <c r="I65" i="1"/>
  <c r="J52" i="1"/>
  <c r="I61" i="1"/>
  <c r="J48" i="1"/>
  <c r="J36" i="1"/>
  <c r="J68" i="1"/>
  <c r="J55" i="1"/>
  <c r="I72" i="1"/>
  <c r="I60" i="1"/>
  <c r="J47" i="1"/>
  <c r="J35" i="1"/>
  <c r="I56" i="1"/>
  <c r="I53" i="1"/>
  <c r="J51" i="1"/>
  <c r="I71" i="1"/>
  <c r="I59" i="1"/>
  <c r="J46" i="1"/>
  <c r="J34" i="1"/>
  <c r="J42" i="1"/>
  <c r="I70" i="1"/>
  <c r="I58" i="1"/>
  <c r="D40" i="1"/>
  <c r="L41" i="1"/>
  <c r="L51" i="1"/>
  <c r="L49" i="1"/>
  <c r="D53" i="1"/>
  <c r="L52" i="1"/>
  <c r="L48" i="1"/>
  <c r="L47" i="1"/>
  <c r="L46" i="1"/>
  <c r="L45" i="1"/>
  <c r="L44" i="1"/>
  <c r="L43" i="1"/>
  <c r="L42" i="1"/>
  <c r="D39" i="1" l="1"/>
  <c r="L40" i="1"/>
  <c r="D54" i="1"/>
  <c r="L53" i="1"/>
  <c r="D38" i="1" l="1"/>
  <c r="L39" i="1"/>
  <c r="D55" i="1"/>
  <c r="L54" i="1"/>
  <c r="D37" i="1" l="1"/>
  <c r="L38" i="1"/>
  <c r="D56" i="1"/>
  <c r="L55" i="1"/>
  <c r="L37" i="1" l="1"/>
  <c r="D36" i="1"/>
  <c r="D57" i="1"/>
  <c r="L56" i="1"/>
  <c r="D35" i="1" l="1"/>
  <c r="L36" i="1"/>
  <c r="D58" i="1"/>
  <c r="L57" i="1"/>
  <c r="D34" i="1" l="1"/>
  <c r="L35" i="1"/>
  <c r="D59" i="1"/>
  <c r="L58" i="1"/>
  <c r="D33" i="1" l="1"/>
  <c r="L34" i="1"/>
  <c r="D60" i="1"/>
  <c r="L59" i="1"/>
  <c r="D32" i="1" l="1"/>
  <c r="L33" i="1"/>
  <c r="D61" i="1"/>
  <c r="L60" i="1"/>
  <c r="D31" i="1" l="1"/>
  <c r="L32" i="1"/>
  <c r="D62" i="1"/>
  <c r="L61" i="1"/>
  <c r="L31" i="1" l="1"/>
  <c r="D30" i="1"/>
  <c r="D63" i="1"/>
  <c r="L62" i="1"/>
  <c r="L30" i="1" l="1"/>
  <c r="D29" i="1"/>
  <c r="D64" i="1"/>
  <c r="L63" i="1"/>
  <c r="D28" i="1" l="1"/>
  <c r="L29" i="1"/>
  <c r="D65" i="1"/>
  <c r="L64" i="1"/>
  <c r="L28" i="1" l="1"/>
  <c r="D27" i="1"/>
  <c r="D66" i="1"/>
  <c r="L65" i="1"/>
  <c r="D26" i="1" l="1"/>
  <c r="L27" i="1"/>
  <c r="D67" i="1"/>
  <c r="L66" i="1"/>
  <c r="D25" i="1" l="1"/>
  <c r="L26" i="1"/>
  <c r="D68" i="1"/>
  <c r="L67" i="1"/>
  <c r="D24" i="1" l="1"/>
  <c r="L25" i="1"/>
  <c r="D69" i="1"/>
  <c r="L68" i="1"/>
  <c r="D23" i="1" l="1"/>
  <c r="L24" i="1"/>
  <c r="D70" i="1"/>
  <c r="L69" i="1"/>
  <c r="D22" i="1" l="1"/>
  <c r="L23" i="1"/>
  <c r="D71" i="1"/>
  <c r="L70" i="1"/>
  <c r="D21" i="1" l="1"/>
  <c r="L22" i="1"/>
  <c r="D72" i="1"/>
  <c r="L71" i="1"/>
  <c r="L21" i="1" l="1"/>
  <c r="D20" i="1"/>
  <c r="D73" i="1"/>
  <c r="L72" i="1"/>
  <c r="D19" i="1" l="1"/>
  <c r="L20" i="1"/>
  <c r="D74" i="1"/>
  <c r="E73" i="1"/>
  <c r="L73" i="1" l="1"/>
  <c r="H73" i="1"/>
  <c r="D18" i="1"/>
  <c r="L19" i="1"/>
  <c r="D75" i="1"/>
  <c r="E74" i="1"/>
  <c r="L74" i="1" l="1"/>
  <c r="H74" i="1"/>
  <c r="J73" i="1"/>
  <c r="I73" i="1"/>
  <c r="L18" i="1"/>
  <c r="D17" i="1"/>
  <c r="D76" i="1"/>
  <c r="E75" i="1"/>
  <c r="L75" i="1" l="1"/>
  <c r="H75" i="1"/>
  <c r="J74" i="1"/>
  <c r="I74" i="1"/>
  <c r="L17" i="1"/>
  <c r="D16" i="1"/>
  <c r="D77" i="1"/>
  <c r="E76" i="1"/>
  <c r="L76" i="1" l="1"/>
  <c r="H76" i="1"/>
  <c r="J75" i="1"/>
  <c r="I75" i="1"/>
  <c r="D15" i="1"/>
  <c r="L16" i="1"/>
  <c r="D78" i="1"/>
  <c r="E77" i="1"/>
  <c r="L77" i="1" l="1"/>
  <c r="H77" i="1"/>
  <c r="J76" i="1"/>
  <c r="I76" i="1"/>
  <c r="D14" i="1"/>
  <c r="L15" i="1"/>
  <c r="D79" i="1"/>
  <c r="E78" i="1"/>
  <c r="L78" i="1" l="1"/>
  <c r="H78" i="1"/>
  <c r="J77" i="1"/>
  <c r="I77" i="1"/>
  <c r="L14" i="1"/>
  <c r="D13" i="1"/>
  <c r="D80" i="1"/>
  <c r="E79" i="1"/>
  <c r="L79" i="1" l="1"/>
  <c r="H79" i="1"/>
  <c r="I78" i="1"/>
  <c r="J78" i="1"/>
  <c r="D12" i="1"/>
  <c r="L13" i="1"/>
  <c r="D81" i="1"/>
  <c r="E80" i="1"/>
  <c r="L80" i="1" l="1"/>
  <c r="H80" i="1"/>
  <c r="J79" i="1"/>
  <c r="I79" i="1"/>
  <c r="D11" i="1"/>
  <c r="L12" i="1"/>
  <c r="D82" i="1"/>
  <c r="E81" i="1"/>
  <c r="L81" i="1" l="1"/>
  <c r="H81" i="1"/>
  <c r="J80" i="1"/>
  <c r="I80" i="1"/>
  <c r="L11" i="1"/>
  <c r="D10" i="1"/>
  <c r="D83" i="1"/>
  <c r="E82" i="1"/>
  <c r="L82" i="1" l="1"/>
  <c r="H82" i="1"/>
  <c r="J81" i="1"/>
  <c r="I81" i="1"/>
  <c r="D9" i="1"/>
  <c r="E10" i="1"/>
  <c r="D84" i="1"/>
  <c r="E83" i="1"/>
  <c r="L10" i="1" l="1"/>
  <c r="H10" i="1"/>
  <c r="L83" i="1"/>
  <c r="H83" i="1"/>
  <c r="J82" i="1"/>
  <c r="I82" i="1"/>
  <c r="D8" i="1"/>
  <c r="E9" i="1"/>
  <c r="D85" i="1"/>
  <c r="E84" i="1"/>
  <c r="L84" i="1" l="1"/>
  <c r="H84" i="1"/>
  <c r="L9" i="1"/>
  <c r="H9" i="1"/>
  <c r="J83" i="1"/>
  <c r="I83" i="1"/>
  <c r="E8" i="1"/>
  <c r="D7" i="1"/>
  <c r="D86" i="1"/>
  <c r="E86" i="1" s="1"/>
  <c r="E85" i="1"/>
  <c r="L85" i="1" l="1"/>
  <c r="H85" i="1"/>
  <c r="L86" i="1"/>
  <c r="H86" i="1"/>
  <c r="L8" i="1"/>
  <c r="H8" i="1"/>
  <c r="J84" i="1"/>
  <c r="I84" i="1"/>
  <c r="D6" i="1"/>
  <c r="E7" i="1"/>
  <c r="L7" i="1" l="1"/>
  <c r="H7" i="1"/>
  <c r="J86" i="1"/>
  <c r="I86" i="1"/>
  <c r="J85" i="1"/>
  <c r="I85" i="1"/>
  <c r="D5" i="1"/>
  <c r="E6" i="1"/>
  <c r="L6" i="1" l="1"/>
  <c r="H6" i="1"/>
  <c r="D4" i="1"/>
  <c r="E5" i="1"/>
  <c r="L5" i="1" l="1"/>
  <c r="H5" i="1"/>
  <c r="D3" i="1"/>
  <c r="E4" i="1"/>
  <c r="L4" i="1" l="1"/>
  <c r="H4" i="1"/>
  <c r="D2" i="1"/>
  <c r="E2" i="1" s="1"/>
  <c r="E3" i="1"/>
  <c r="L2" i="1" l="1"/>
  <c r="H2" i="1"/>
  <c r="L3" i="1"/>
  <c r="H3" i="1"/>
</calcChain>
</file>

<file path=xl/sharedStrings.xml><?xml version="1.0" encoding="utf-8"?>
<sst xmlns="http://schemas.openxmlformats.org/spreadsheetml/2006/main" count="206" uniqueCount="133">
  <si>
    <t>note</t>
  </si>
  <si>
    <t>supposed pitch</t>
  </si>
  <si>
    <t>recorded pitch</t>
  </si>
  <si>
    <t>strings</t>
  </si>
  <si>
    <t>class</t>
  </si>
  <si>
    <t>index</t>
  </si>
  <si>
    <t>A</t>
  </si>
  <si>
    <t>A#</t>
  </si>
  <si>
    <t>B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</si>
  <si>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</si>
  <si>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</si>
  <si>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</si>
  <si>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</si>
  <si>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</si>
  <si>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</si>
  <si>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</si>
  <si>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</si>
  <si>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</si>
  <si>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string 0</t>
  </si>
  <si>
    <t>string 1</t>
  </si>
  <si>
    <t>string 2</t>
  </si>
  <si>
    <t>NOTES</t>
  </si>
  <si>
    <t>ratio</t>
  </si>
  <si>
    <t>random</t>
  </si>
  <si>
    <t>static rand.</t>
  </si>
  <si>
    <t>MANUALE</t>
  </si>
  <si>
    <t>s. r. 2</t>
  </si>
  <si>
    <t>s. r. 3</t>
  </si>
  <si>
    <t>cent dev 2</t>
  </si>
  <si>
    <t>cent dev 3</t>
  </si>
  <si>
    <t>midi number</t>
  </si>
  <si>
    <t>A0</t>
  </si>
  <si>
    <t>A#0</t>
  </si>
  <si>
    <t>B0</t>
  </si>
  <si>
    <t>C1</t>
  </si>
  <si>
    <t>C#1</t>
  </si>
  <si>
    <t>D1</t>
  </si>
  <si>
    <t>D#1</t>
  </si>
  <si>
    <t>E1</t>
  </si>
  <si>
    <t>F1</t>
  </si>
  <si>
    <t>F#1</t>
  </si>
  <si>
    <t>G1</t>
  </si>
  <si>
    <t>G#1</t>
  </si>
  <si>
    <t>A1</t>
  </si>
  <si>
    <t>A#1</t>
  </si>
  <si>
    <t>B1</t>
  </si>
  <si>
    <t>C2</t>
  </si>
  <si>
    <t>C#2</t>
  </si>
  <si>
    <t>D2</t>
  </si>
  <si>
    <t>D#2</t>
  </si>
  <si>
    <t>E2</t>
  </si>
  <si>
    <t>F2</t>
  </si>
  <si>
    <t>F#2</t>
  </si>
  <si>
    <t>G2</t>
  </si>
  <si>
    <t>G#2</t>
  </si>
  <si>
    <t>A2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</si>
  <si>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</si>
  <si>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</si>
  <si>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</si>
  <si>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</si>
  <si>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</si>
  <si>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</si>
  <si>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</si>
  <si>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</si>
  <si>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</si>
  <si>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</si>
  <si>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</si>
  <si>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</si>
  <si>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</si>
  <si>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</si>
  <si>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</si>
  <si>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</si>
  <si>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</si>
  <si>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</si>
  <si>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</si>
  <si>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</si>
  <si>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</si>
  <si>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</si>
  <si>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</si>
  <si>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</si>
  <si>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</si>
  <si>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</si>
  <si>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</si>
  <si>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</si>
  <si>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</si>
  <si>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</si>
  <si>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</si>
  <si>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</si>
  <si>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</si>
  <si>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</si>
  <si>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</si>
  <si>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</si>
  <si>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</si>
  <si>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B5</t>
  </si>
  <si>
    <t>C6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</si>
  <si>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</si>
  <si>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</si>
  <si>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</si>
  <si>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</si>
  <si>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</si>
  <si>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</si>
  <si>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</si>
  <si>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</si>
  <si>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</si>
  <si>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</si>
  <si>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B6</t>
  </si>
  <si>
    <t>C7</t>
  </si>
  <si>
    <t>C#7</t>
  </si>
  <si>
    <t>D7</t>
  </si>
  <si>
    <t>D#7</t>
  </si>
  <si>
    <t>E7</t>
  </si>
  <si>
    <t>F7</t>
  </si>
  <si>
    <t>F#7</t>
  </si>
  <si>
    <t>G7</t>
  </si>
  <si>
    <t>G#7</t>
  </si>
  <si>
    <t>A7</t>
  </si>
  <si>
    <t>Note</t>
  </si>
  <si>
    <t>MIDI note</t>
  </si>
  <si>
    <t>Note index</t>
  </si>
  <si>
    <t>Average</t>
  </si>
  <si>
    <t>Median</t>
  </si>
  <si>
    <t>By ear</t>
  </si>
  <si>
    <t>Strings</t>
  </si>
  <si>
    <t>Random</t>
  </si>
  <si>
    <t>Static r. 1</t>
  </si>
  <si>
    <t>Static r. 2</t>
  </si>
  <si>
    <t>Static r. 3</t>
  </si>
  <si>
    <t>Used 1</t>
  </si>
  <si>
    <t>Used 2</t>
  </si>
  <si>
    <t>Used 3</t>
  </si>
  <si>
    <t>Theoretical [Hz]</t>
  </si>
  <si>
    <t>Finals</t>
  </si>
  <si>
    <t>1755 (la#)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</si>
</sst>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0" fontId="1" fillId="4" borderId="0" xfId="0" applyFont="1" applyFill="1"/>
    <xf numFmtId="0" fontId="0" fillId="4" borderId="0" xfId="0" applyFill="1"/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2" fontId="0" fillId="3" borderId="0" xfId="0" applyNumberFormat="1" applyFill="1"/>
    <xf numFmtId="0" fontId="3" fillId="2" borderId="0" xfId="0" applyFont="1" applyFill="1" applyAlignment="1">
      <alignment horizontal="center"/>
    </xf>
    <xf numFmtId="2" fontId="0" fillId="2" borderId="0" xfId="0" applyNumberFormat="1" applyFill="1"/>
    <xf numFmtId="0" fontId="3" fillId="5" borderId="0" xfId="0" applyFont="1" applyFill="1" applyAlignment="1">
      <alignment horizontal="center"/>
    </xf>
    <xf numFmtId="2" fontId="0" fillId="5" borderId="0" xfId="0" applyNumberFormat="1" applyFill="1"/>
    <xf numFmtId="0" fontId="0" fillId="5" borderId="0" xfId="0" applyFill="1"/>
    <xf numFmtId="0" fontId="3" fillId="4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2" fontId="4" fillId="3" borderId="0" xfId="0" applyNumberFormat="1" applyFont="1" applyFill="1"/>
    <xf numFmtId="2" fontId="4" fillId="5" borderId="0" xfId="0" applyNumberFormat="1" applyFont="1" applyFill="1"/>
    <xf numFmtId="2" fontId="4" fillId="2" borderId="0" xfId="0" applyNumberFormat="1" applyFont="1" applyFill="1"/>
    <xf numFmtId="0" fontId="4" fillId="4" borderId="0" xfId="0" applyFont="1" applyFill="1"/>
    <xf numFmtId="2" fontId="4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'pitch tracking results'!$C$2:$C$86</c:f>
              <c:numCache>
                <c:formatCode>General</c:formatCode>
                <c:ptCount val="8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</c:numCache>
            </c:numRef>
          </c:xVal>
          <c:yVal>
            <c:numRef>
              <c:f>'pitch tracking results'!$H$2:$H$86</c:f>
              <c:numCache>
                <c:formatCode>0.00</c:formatCode>
                <c:ptCount val="85"/>
                <c:pt idx="0">
                  <c:v>30.293706893920898</c:v>
                </c:pt>
                <c:pt idx="1">
                  <c:v>33.989334106445298</c:v>
                </c:pt>
                <c:pt idx="2">
                  <c:v>30.780091285705499</c:v>
                </c:pt>
                <c:pt idx="3">
                  <c:v>32.534324645996001</c:v>
                </c:pt>
                <c:pt idx="4">
                  <c:v>32.704025268554602</c:v>
                </c:pt>
                <c:pt idx="5">
                  <c:v>36.507204055786097</c:v>
                </c:pt>
                <c:pt idx="6">
                  <c:v>38.646694183349602</c:v>
                </c:pt>
                <c:pt idx="7">
                  <c:v>40.72261428833</c:v>
                </c:pt>
                <c:pt idx="8">
                  <c:v>42.902133941650298</c:v>
                </c:pt>
                <c:pt idx="9">
                  <c:v>46.025157928466797</c:v>
                </c:pt>
                <c:pt idx="10">
                  <c:v>46.516143798828097</c:v>
                </c:pt>
                <c:pt idx="11">
                  <c:v>51.6283149719238</c:v>
                </c:pt>
                <c:pt idx="12">
                  <c:v>54.683086395263601</c:v>
                </c:pt>
                <c:pt idx="13">
                  <c:v>56.612411499023402</c:v>
                </c:pt>
                <c:pt idx="14">
                  <c:v>60.653106689453097</c:v>
                </c:pt>
                <c:pt idx="15">
                  <c:v>63.9025268554687</c:v>
                </c:pt>
                <c:pt idx="16">
                  <c:v>67.691818237304602</c:v>
                </c:pt>
                <c:pt idx="17">
                  <c:v>71.329765319824205</c:v>
                </c:pt>
                <c:pt idx="18">
                  <c:v>75.606437683105398</c:v>
                </c:pt>
                <c:pt idx="19">
                  <c:v>80.525413513183594</c:v>
                </c:pt>
                <c:pt idx="20">
                  <c:v>84.822731018066406</c:v>
                </c:pt>
                <c:pt idx="21">
                  <c:v>90.379859924316406</c:v>
                </c:pt>
                <c:pt idx="22">
                  <c:v>95.760177612304602</c:v>
                </c:pt>
                <c:pt idx="23">
                  <c:v>101.463134765625</c:v>
                </c:pt>
                <c:pt idx="24">
                  <c:v>107.48963928222599</c:v>
                </c:pt>
                <c:pt idx="25">
                  <c:v>113.87899017333901</c:v>
                </c:pt>
                <c:pt idx="26">
                  <c:v>120.647888183593</c:v>
                </c:pt>
                <c:pt idx="27">
                  <c:v>127.106117248535</c:v>
                </c:pt>
                <c:pt idx="28">
                  <c:v>136.19244384765599</c:v>
                </c:pt>
                <c:pt idx="29">
                  <c:v>143.49411773681601</c:v>
                </c:pt>
                <c:pt idx="30">
                  <c:v>149.35060119628901</c:v>
                </c:pt>
                <c:pt idx="31">
                  <c:v>159.629768371582</c:v>
                </c:pt>
                <c:pt idx="32">
                  <c:v>169.64434814453099</c:v>
                </c:pt>
                <c:pt idx="33">
                  <c:v>177.67329406738199</c:v>
                </c:pt>
                <c:pt idx="34">
                  <c:v>190.40190124511699</c:v>
                </c:pt>
                <c:pt idx="35">
                  <c:v>200.577224731445</c:v>
                </c:pt>
                <c:pt idx="36">
                  <c:v>213.73532104492099</c:v>
                </c:pt>
                <c:pt idx="37">
                  <c:v>226.46087646484301</c:v>
                </c:pt>
                <c:pt idx="38">
                  <c:v>239.99073028564399</c:v>
                </c:pt>
                <c:pt idx="39">
                  <c:v>251.44344329833899</c:v>
                </c:pt>
                <c:pt idx="40">
                  <c:v>270.76040649414</c:v>
                </c:pt>
                <c:pt idx="41">
                  <c:v>282.017822265625</c:v>
                </c:pt>
                <c:pt idx="42">
                  <c:v>300.59477233886702</c:v>
                </c:pt>
                <c:pt idx="43">
                  <c:v>312.96795654296801</c:v>
                </c:pt>
                <c:pt idx="44">
                  <c:v>341.12612915039</c:v>
                </c:pt>
                <c:pt idx="45">
                  <c:v>359.42364501953102</c:v>
                </c:pt>
                <c:pt idx="46">
                  <c:v>380.88848876953102</c:v>
                </c:pt>
                <c:pt idx="47">
                  <c:v>401.34313964843699</c:v>
                </c:pt>
                <c:pt idx="48">
                  <c:v>422.569091796875</c:v>
                </c:pt>
                <c:pt idx="49">
                  <c:v>450.22381591796801</c:v>
                </c:pt>
                <c:pt idx="50">
                  <c:v>478.39596557617102</c:v>
                </c:pt>
                <c:pt idx="51">
                  <c:v>505.330474853515</c:v>
                </c:pt>
                <c:pt idx="52">
                  <c:v>517.26461791992097</c:v>
                </c:pt>
                <c:pt idx="53">
                  <c:v>548.1640625</c:v>
                </c:pt>
                <c:pt idx="54">
                  <c:v>594.32931518554597</c:v>
                </c:pt>
                <c:pt idx="55">
                  <c:v>632.85357666015602</c:v>
                </c:pt>
                <c:pt idx="56">
                  <c:v>667.36047363281205</c:v>
                </c:pt>
                <c:pt idx="57">
                  <c:v>706.65289306640602</c:v>
                </c:pt>
                <c:pt idx="58">
                  <c:v>748.64080810546795</c:v>
                </c:pt>
                <c:pt idx="59">
                  <c:v>802.35629272460903</c:v>
                </c:pt>
                <c:pt idx="60">
                  <c:v>849.85186767578102</c:v>
                </c:pt>
                <c:pt idx="61">
                  <c:v>905.08139038085903</c:v>
                </c:pt>
                <c:pt idx="62">
                  <c:v>942.76617431640602</c:v>
                </c:pt>
                <c:pt idx="63">
                  <c:v>1016.8302307128901</c:v>
                </c:pt>
                <c:pt idx="64">
                  <c:v>1064.78637695312</c:v>
                </c:pt>
                <c:pt idx="65">
                  <c:v>1128.6564331054601</c:v>
                </c:pt>
                <c:pt idx="66">
                  <c:v>1200.7982788085901</c:v>
                </c:pt>
                <c:pt idx="67">
                  <c:v>1283.1427612304601</c:v>
                </c:pt>
                <c:pt idx="68">
                  <c:v>1341.02954101562</c:v>
                </c:pt>
                <c:pt idx="69">
                  <c:v>1442.1290893554601</c:v>
                </c:pt>
                <c:pt idx="70">
                  <c:v>1532.4273071289001</c:v>
                </c:pt>
                <c:pt idx="71">
                  <c:v>1609.13317871093</c:v>
                </c:pt>
                <c:pt idx="72">
                  <c:v>0</c:v>
                </c:pt>
                <c:pt idx="73">
                  <c:v>1828.5154418945301</c:v>
                </c:pt>
                <c:pt idx="74">
                  <c:v>1987.3062133789001</c:v>
                </c:pt>
                <c:pt idx="75">
                  <c:v>2019.15991210937</c:v>
                </c:pt>
                <c:pt idx="76">
                  <c:v>2194.4295654296802</c:v>
                </c:pt>
                <c:pt idx="77">
                  <c:v>2305</c:v>
                </c:pt>
                <c:pt idx="78">
                  <c:v>2485</c:v>
                </c:pt>
                <c:pt idx="79">
                  <c:v>2615</c:v>
                </c:pt>
                <c:pt idx="80">
                  <c:v>2752</c:v>
                </c:pt>
                <c:pt idx="81">
                  <c:v>2925</c:v>
                </c:pt>
                <c:pt idx="82">
                  <c:v>3075</c:v>
                </c:pt>
                <c:pt idx="83">
                  <c:v>3285</c:v>
                </c:pt>
                <c:pt idx="84">
                  <c:v>3455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53-4E39-A39A-564183320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84991"/>
        <c:axId val="82785951"/>
      </c:scatterChart>
      <c:valAx>
        <c:axId val="8278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785951"/>
        <c:crosses val="autoZero"/>
        <c:crossBetween val="midCat"/>
      </c:valAx>
      <c:valAx>
        <c:axId val="82785951"/>
        <c:scaling>
          <c:logBase val="2"/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78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88900</xdr:colOff>
      <xdr:row>2</xdr:row>
      <xdr:rowOff>31750</xdr:rowOff>
    </xdr:from>
    <xdr:to>
      <xdr:col>24</xdr:col>
      <xdr:colOff>304800</xdr:colOff>
      <xdr:row>17</xdr:row>
      <xdr:rowOff>12700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C1295D5-F8B1-C147-325C-F2965B20E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opLeftCell="A25" workbookViewId="0">
      <selection activeCell="H80" sqref="H80:H86"/>
    </sheetView>
  </sheetViews>
  <sheetFormatPr defaultRowHeight="14.4" x14ac:dyDescent="0.3"/>
  <cols>
    <col min="3" max="3" width="7.109375" customWidth="1"/>
    <col min="4" max="4" width="14.5546875" style="10" bestFit="1" customWidth="1"/>
    <col min="5" max="5" width="14" style="7" bestFit="1" customWidth="1"/>
    <col min="6" max="6" width="14" style="13" customWidth="1"/>
    <col min="11" max="11" width="11.5546875" customWidth="1"/>
    <col min="14" max="14" width="10.33203125" style="7" customWidth="1"/>
    <col min="17" max="18" width="10.33203125" customWidth="1"/>
  </cols>
  <sheetData>
    <row r="1" spans="1:18" x14ac:dyDescent="0.3">
      <c r="A1" s="1" t="s">
        <v>4</v>
      </c>
      <c r="B1" s="1" t="s">
        <v>5</v>
      </c>
      <c r="C1" s="1" t="s">
        <v>0</v>
      </c>
      <c r="D1" s="9" t="s">
        <v>1</v>
      </c>
      <c r="E1" s="6" t="s">
        <v>2</v>
      </c>
      <c r="F1" s="12" t="s">
        <v>30</v>
      </c>
      <c r="G1" s="1" t="s">
        <v>3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6" t="s">
        <v>24</v>
      </c>
      <c r="O1" s="1" t="s">
        <v>26</v>
      </c>
      <c r="P1" s="1" t="s">
        <v>27</v>
      </c>
      <c r="Q1" s="1" t="s">
        <v>28</v>
      </c>
      <c r="R1" s="1" t="s">
        <v>29</v>
      </c>
    </row>
    <row r="2" spans="1:18" x14ac:dyDescent="0.3">
      <c r="A2" t="s">
        <v>6</v>
      </c>
      <c r="B2">
        <v>0</v>
      </c>
      <c r="C2" t="str">
        <f>_xlfn.CONCAT(A2,B2)</f>
        <v>A0</v>
      </c>
      <c r="D2" s="10">
        <f t="shared" ref="D2:D37" si="0">D3/POWER(2,1/12)</f>
        <v>27.499999999999936</v>
      </c>
      <c r="E2" s="8">
        <f>D2*(0.95+(N2-0.5)*0.05)</f>
        <v>25.937504703946772</v>
      </c>
      <c r="F2" s="13">
        <v>9</v>
      </c>
      <c r="G2">
        <v>1</v>
      </c>
      <c r="H2" s="11">
        <f>E2</f>
        <v>25.937504703946772</v>
      </c>
      <c r="I2" s="2">
        <v>440</v>
      </c>
      <c r="J2" s="2">
        <v>440</v>
      </c>
      <c r="L2" s="3">
        <f t="shared" ref="L2:L10" si="1">E2/D2</f>
        <v>0.94318198923443031</v>
      </c>
      <c r="M2">
        <f ca="1">RAND()</f>
        <v>0.28916608097129526</v>
      </c>
      <c r="N2" s="7">
        <v>0.36363978468860625</v>
      </c>
      <c r="O2">
        <v>0.81327626718523716</v>
      </c>
      <c r="P2">
        <v>0.65931322849431195</v>
      </c>
      <c r="Q2" s="5"/>
      <c r="R2" s="5"/>
    </row>
    <row r="3" spans="1:18" x14ac:dyDescent="0.3">
      <c r="A3" t="s">
        <v>7</v>
      </c>
      <c r="B3">
        <v>0</v>
      </c>
      <c r="C3" t="str">
        <f t="shared" ref="C3:C66" si="2">_xlfn.CONCAT(A3,B3)</f>
        <v>A#0</v>
      </c>
      <c r="D3" s="10">
        <f t="shared" si="0"/>
        <v>29.135235094880553</v>
      </c>
      <c r="E3" s="8">
        <f t="shared" ref="E3:E10" si="3">D3*(0.95+(N3-0.5)*0.05)</f>
        <v>27.175206999246271</v>
      </c>
      <c r="F3" s="13">
        <v>10</v>
      </c>
      <c r="G3">
        <v>1</v>
      </c>
      <c r="H3" s="11">
        <f t="shared" ref="H3:H66" si="4">E3</f>
        <v>27.175206999246271</v>
      </c>
      <c r="I3" s="2">
        <v>440</v>
      </c>
      <c r="J3" s="2">
        <v>440</v>
      </c>
      <c r="L3" s="3">
        <f t="shared" si="1"/>
        <v>0.93272653921441373</v>
      </c>
      <c r="M3">
        <f t="shared" ref="M3:M66" ca="1" si="5">RAND()</f>
        <v>0.28820329998251526</v>
      </c>
      <c r="N3" s="7">
        <v>0.15453078428827749</v>
      </c>
      <c r="O3">
        <v>0.9675135000259748</v>
      </c>
      <c r="P3">
        <v>0.21381114536068957</v>
      </c>
      <c r="Q3" s="5"/>
      <c r="R3" s="5"/>
    </row>
    <row r="4" spans="1:18" x14ac:dyDescent="0.3">
      <c r="A4" t="s">
        <v>8</v>
      </c>
      <c r="B4">
        <v>0</v>
      </c>
      <c r="C4" t="str">
        <f t="shared" si="2"/>
        <v>B0</v>
      </c>
      <c r="D4" s="10">
        <f t="shared" si="0"/>
        <v>30.867706328507687</v>
      </c>
      <c r="E4" s="8">
        <f t="shared" si="3"/>
        <v>29.559723155128818</v>
      </c>
      <c r="F4" s="13">
        <v>11</v>
      </c>
      <c r="G4">
        <v>1</v>
      </c>
      <c r="H4" s="11">
        <f t="shared" si="4"/>
        <v>29.559723155128818</v>
      </c>
      <c r="I4" s="2">
        <v>440</v>
      </c>
      <c r="J4" s="2">
        <v>440</v>
      </c>
      <c r="L4" s="3">
        <f t="shared" si="1"/>
        <v>0.9576261624540956</v>
      </c>
      <c r="M4">
        <f t="shared" ca="1" si="5"/>
        <v>0.62749919491438055</v>
      </c>
      <c r="N4" s="7">
        <v>0.65252324908191239</v>
      </c>
      <c r="O4">
        <v>0.99821846867849973</v>
      </c>
      <c r="P4">
        <v>3.7883796946311943E-2</v>
      </c>
      <c r="Q4" s="5"/>
      <c r="R4" s="5"/>
    </row>
    <row r="5" spans="1:18" x14ac:dyDescent="0.3">
      <c r="A5" t="s">
        <v>9</v>
      </c>
      <c r="B5">
        <v>1</v>
      </c>
      <c r="C5" t="str">
        <f t="shared" si="2"/>
        <v>C1</v>
      </c>
      <c r="D5" s="10">
        <f t="shared" si="0"/>
        <v>32.703195662574757</v>
      </c>
      <c r="E5" s="8">
        <f t="shared" si="3"/>
        <v>31.592944433441076</v>
      </c>
      <c r="F5" s="13">
        <v>12</v>
      </c>
      <c r="G5">
        <v>1</v>
      </c>
      <c r="H5" s="11">
        <f t="shared" si="4"/>
        <v>31.592944433441076</v>
      </c>
      <c r="I5" s="2">
        <v>440</v>
      </c>
      <c r="J5" s="2">
        <v>440</v>
      </c>
      <c r="L5" s="3">
        <f t="shared" si="1"/>
        <v>0.96605068077783474</v>
      </c>
      <c r="M5">
        <f t="shared" ca="1" si="5"/>
        <v>0.10779821547241697</v>
      </c>
      <c r="N5" s="7">
        <v>0.82101361555669505</v>
      </c>
      <c r="O5">
        <v>0.16356704408325629</v>
      </c>
      <c r="P5">
        <v>3.9391521460983236E-2</v>
      </c>
      <c r="Q5" s="5"/>
      <c r="R5" s="5"/>
    </row>
    <row r="6" spans="1:18" x14ac:dyDescent="0.3">
      <c r="A6" t="s">
        <v>10</v>
      </c>
      <c r="B6">
        <v>1</v>
      </c>
      <c r="C6" t="str">
        <f t="shared" si="2"/>
        <v>C#1</v>
      </c>
      <c r="D6" s="10">
        <f t="shared" si="0"/>
        <v>34.647828872108938</v>
      </c>
      <c r="E6" s="8">
        <f t="shared" si="3"/>
        <v>33.188593086260163</v>
      </c>
      <c r="F6" s="13">
        <v>13</v>
      </c>
      <c r="G6">
        <v>1</v>
      </c>
      <c r="H6" s="11">
        <f t="shared" si="4"/>
        <v>33.188593086260163</v>
      </c>
      <c r="I6" s="2">
        <v>440</v>
      </c>
      <c r="J6" s="2">
        <v>440</v>
      </c>
      <c r="L6" s="3">
        <f t="shared" si="1"/>
        <v>0.95788377415407289</v>
      </c>
      <c r="M6">
        <f t="shared" ca="1" si="5"/>
        <v>0.86072165450337634</v>
      </c>
      <c r="N6" s="7">
        <v>0.6576754830814584</v>
      </c>
      <c r="O6">
        <v>0.46666678517286075</v>
      </c>
      <c r="P6">
        <v>0.11679567548121794</v>
      </c>
      <c r="Q6" s="5"/>
      <c r="R6" s="5"/>
    </row>
    <row r="7" spans="1:18" x14ac:dyDescent="0.3">
      <c r="A7" t="s">
        <v>11</v>
      </c>
      <c r="B7">
        <v>1</v>
      </c>
      <c r="C7" t="str">
        <f t="shared" si="2"/>
        <v>D1</v>
      </c>
      <c r="D7" s="10">
        <f t="shared" si="0"/>
        <v>36.708095989675869</v>
      </c>
      <c r="E7" s="8">
        <f t="shared" si="3"/>
        <v>35.268560830977428</v>
      </c>
      <c r="F7" s="13">
        <v>14</v>
      </c>
      <c r="G7">
        <v>1</v>
      </c>
      <c r="H7" s="11">
        <f t="shared" si="4"/>
        <v>35.268560830977428</v>
      </c>
      <c r="I7" s="2">
        <v>440</v>
      </c>
      <c r="J7" s="2">
        <v>440</v>
      </c>
      <c r="L7" s="3">
        <f t="shared" si="1"/>
        <v>0.96078425971471504</v>
      </c>
      <c r="M7">
        <f t="shared" ca="1" si="5"/>
        <v>2.8444491835084573E-2</v>
      </c>
      <c r="N7" s="7">
        <v>0.71568519429429844</v>
      </c>
      <c r="O7">
        <v>0.94925025889775583</v>
      </c>
      <c r="P7">
        <v>0.98470003936337525</v>
      </c>
      <c r="Q7" s="5"/>
      <c r="R7" s="5"/>
    </row>
    <row r="8" spans="1:18" x14ac:dyDescent="0.3">
      <c r="A8" t="s">
        <v>12</v>
      </c>
      <c r="B8">
        <v>1</v>
      </c>
      <c r="C8" t="str">
        <f t="shared" si="2"/>
        <v>D#1</v>
      </c>
      <c r="D8" s="10">
        <f t="shared" si="0"/>
        <v>38.890872965260037</v>
      </c>
      <c r="E8" s="8">
        <f t="shared" si="3"/>
        <v>36.076826679212928</v>
      </c>
      <c r="F8" s="13">
        <v>15</v>
      </c>
      <c r="G8">
        <v>1</v>
      </c>
      <c r="H8" s="11">
        <f t="shared" si="4"/>
        <v>36.076826679212928</v>
      </c>
      <c r="I8" s="2">
        <v>440</v>
      </c>
      <c r="J8" s="2">
        <v>440</v>
      </c>
      <c r="L8" s="3">
        <f t="shared" si="1"/>
        <v>0.92764250140230065</v>
      </c>
      <c r="M8">
        <f t="shared" ca="1" si="5"/>
        <v>7.0820130081148958E-2</v>
      </c>
      <c r="N8" s="7">
        <v>5.2850028046014241E-2</v>
      </c>
      <c r="O8">
        <v>0.51088548842636616</v>
      </c>
      <c r="P8">
        <v>0.32967621943623859</v>
      </c>
      <c r="Q8" s="5"/>
      <c r="R8" s="5"/>
    </row>
    <row r="9" spans="1:18" x14ac:dyDescent="0.3">
      <c r="A9" t="s">
        <v>13</v>
      </c>
      <c r="B9">
        <v>1</v>
      </c>
      <c r="C9" t="str">
        <f t="shared" si="2"/>
        <v>E1</v>
      </c>
      <c r="D9" s="10">
        <f t="shared" si="0"/>
        <v>41.203444614108662</v>
      </c>
      <c r="E9" s="8">
        <f t="shared" si="3"/>
        <v>38.552184451496792</v>
      </c>
      <c r="F9" s="13">
        <v>16</v>
      </c>
      <c r="G9">
        <v>1</v>
      </c>
      <c r="H9" s="11">
        <f t="shared" si="4"/>
        <v>38.552184451496792</v>
      </c>
      <c r="I9" s="2">
        <v>440</v>
      </c>
      <c r="J9" s="2">
        <v>440</v>
      </c>
      <c r="L9" s="3">
        <f t="shared" si="1"/>
        <v>0.9356544049304063</v>
      </c>
      <c r="M9">
        <f t="shared" ca="1" si="5"/>
        <v>0.26790690268450779</v>
      </c>
      <c r="N9" s="7">
        <v>0.21308809860812472</v>
      </c>
      <c r="O9">
        <v>0.18211828530874763</v>
      </c>
      <c r="P9">
        <v>0.91404208473801773</v>
      </c>
      <c r="Q9" s="5"/>
      <c r="R9" s="5"/>
    </row>
    <row r="10" spans="1:18" x14ac:dyDescent="0.3">
      <c r="A10" t="s">
        <v>14</v>
      </c>
      <c r="B10">
        <v>1</v>
      </c>
      <c r="C10" t="str">
        <f t="shared" si="2"/>
        <v>F1</v>
      </c>
      <c r="D10" s="10">
        <f t="shared" si="0"/>
        <v>43.6535289291254</v>
      </c>
      <c r="E10" s="8">
        <f t="shared" si="3"/>
        <v>42.184784497380072</v>
      </c>
      <c r="F10" s="13">
        <v>17</v>
      </c>
      <c r="G10">
        <v>1</v>
      </c>
      <c r="H10" s="11">
        <f t="shared" si="4"/>
        <v>42.184784497380072</v>
      </c>
      <c r="I10" s="2">
        <v>440</v>
      </c>
      <c r="J10" s="2">
        <v>440</v>
      </c>
      <c r="L10" s="3">
        <f t="shared" si="1"/>
        <v>0.96635450860960315</v>
      </c>
      <c r="M10">
        <f t="shared" ca="1" si="5"/>
        <v>0.48398592786973926</v>
      </c>
      <c r="N10" s="7">
        <v>0.82709017219206349</v>
      </c>
      <c r="O10">
        <v>0.92564980592148061</v>
      </c>
      <c r="P10">
        <v>0.40390584375727312</v>
      </c>
      <c r="Q10" s="5"/>
      <c r="R10" s="5"/>
    </row>
    <row r="11" spans="1:18" x14ac:dyDescent="0.3">
      <c r="A11" t="s">
        <v>15</v>
      </c>
      <c r="B11">
        <v>1</v>
      </c>
      <c r="C11" t="str">
        <f t="shared" si="2"/>
        <v>F#1</v>
      </c>
      <c r="D11" s="10">
        <f t="shared" si="0"/>
        <v>46.249302838954215</v>
      </c>
      <c r="E11" s="7">
        <v>44.3</v>
      </c>
      <c r="F11" s="13">
        <v>18</v>
      </c>
      <c r="G11">
        <v>1</v>
      </c>
      <c r="H11" s="11">
        <f t="shared" si="4"/>
        <v>44.3</v>
      </c>
      <c r="I11" s="2">
        <v>440</v>
      </c>
      <c r="J11" s="2">
        <v>440</v>
      </c>
      <c r="L11">
        <f>E11/D11</f>
        <v>0.95785227626582981</v>
      </c>
      <c r="M11">
        <f t="shared" ca="1" si="5"/>
        <v>0.67263524976077549</v>
      </c>
      <c r="N11" s="7">
        <v>0.31858018787723441</v>
      </c>
      <c r="O11">
        <v>0.29627265263847158</v>
      </c>
      <c r="P11">
        <v>0.35923475484173395</v>
      </c>
      <c r="Q11" s="5"/>
      <c r="R11" s="5"/>
    </row>
    <row r="12" spans="1:18" x14ac:dyDescent="0.3">
      <c r="A12" t="s">
        <v>16</v>
      </c>
      <c r="B12">
        <v>1</v>
      </c>
      <c r="C12" t="str">
        <f t="shared" si="2"/>
        <v>G1</v>
      </c>
      <c r="D12" s="10">
        <f t="shared" si="0"/>
        <v>48.999429497718573</v>
      </c>
      <c r="E12" s="7">
        <v>45</v>
      </c>
      <c r="F12" s="13">
        <v>19</v>
      </c>
      <c r="G12">
        <v>1</v>
      </c>
      <c r="H12" s="11">
        <f t="shared" si="4"/>
        <v>45</v>
      </c>
      <c r="I12" s="2">
        <v>440</v>
      </c>
      <c r="J12" s="2">
        <v>440</v>
      </c>
      <c r="L12">
        <f t="shared" ref="L12:L75" si="6">E12/D12</f>
        <v>0.91837803952585229</v>
      </c>
      <c r="M12">
        <f t="shared" ca="1" si="5"/>
        <v>0.42000180508780438</v>
      </c>
      <c r="N12" s="7">
        <v>4.9441714832939354E-2</v>
      </c>
      <c r="O12">
        <v>0.96026804361875862</v>
      </c>
      <c r="P12">
        <v>0.39691226312336558</v>
      </c>
      <c r="Q12" s="5"/>
      <c r="R12" s="5"/>
    </row>
    <row r="13" spans="1:18" x14ac:dyDescent="0.3">
      <c r="A13" t="s">
        <v>17</v>
      </c>
      <c r="B13">
        <v>1</v>
      </c>
      <c r="C13" t="str">
        <f t="shared" si="2"/>
        <v>G#1</v>
      </c>
      <c r="D13" s="10">
        <f t="shared" si="0"/>
        <v>51.913087197493049</v>
      </c>
      <c r="E13" s="7">
        <v>51.7</v>
      </c>
      <c r="F13" s="13">
        <v>20</v>
      </c>
      <c r="G13">
        <v>1</v>
      </c>
      <c r="H13">
        <f t="shared" si="4"/>
        <v>51.7</v>
      </c>
      <c r="I13" s="2">
        <v>440</v>
      </c>
      <c r="J13" s="2">
        <v>440</v>
      </c>
      <c r="L13">
        <f t="shared" si="6"/>
        <v>0.99589530869773946</v>
      </c>
      <c r="M13">
        <f t="shared" ca="1" si="5"/>
        <v>0.65412379804803256</v>
      </c>
      <c r="N13" s="7">
        <v>9.0789275175559458E-2</v>
      </c>
      <c r="O13">
        <v>0.72328614384169432</v>
      </c>
      <c r="P13">
        <v>0.23695958681132301</v>
      </c>
      <c r="Q13" s="5"/>
      <c r="R13" s="5"/>
    </row>
    <row r="14" spans="1:18" x14ac:dyDescent="0.3">
      <c r="A14" t="s">
        <v>6</v>
      </c>
      <c r="B14">
        <v>1</v>
      </c>
      <c r="C14" t="str">
        <f t="shared" si="2"/>
        <v>A1</v>
      </c>
      <c r="D14" s="10">
        <f t="shared" si="0"/>
        <v>54.999999999999901</v>
      </c>
      <c r="E14" s="7">
        <v>54.7</v>
      </c>
      <c r="F14" s="13">
        <v>21</v>
      </c>
      <c r="G14">
        <v>1</v>
      </c>
      <c r="H14">
        <f t="shared" si="4"/>
        <v>54.7</v>
      </c>
      <c r="I14" s="2">
        <v>440</v>
      </c>
      <c r="J14" s="2">
        <v>440</v>
      </c>
      <c r="L14">
        <f t="shared" si="6"/>
        <v>0.9945454545454564</v>
      </c>
      <c r="M14">
        <f t="shared" ca="1" si="5"/>
        <v>0.10414888545823497</v>
      </c>
      <c r="N14" s="7">
        <v>0.31354481400876677</v>
      </c>
      <c r="O14">
        <v>0.8560503164385117</v>
      </c>
      <c r="P14">
        <v>0.44156491250941621</v>
      </c>
      <c r="Q14" s="5"/>
      <c r="R14" s="5"/>
    </row>
    <row r="15" spans="1:18" x14ac:dyDescent="0.3">
      <c r="A15" t="s">
        <v>7</v>
      </c>
      <c r="B15">
        <v>1</v>
      </c>
      <c r="C15" t="str">
        <f t="shared" si="2"/>
        <v>A#1</v>
      </c>
      <c r="D15" s="10">
        <f t="shared" si="0"/>
        <v>58.270470189761134</v>
      </c>
      <c r="E15" s="7">
        <v>56.7</v>
      </c>
      <c r="F15" s="13">
        <v>22</v>
      </c>
      <c r="G15">
        <v>2</v>
      </c>
      <c r="H15" s="11">
        <f t="shared" si="4"/>
        <v>56.7</v>
      </c>
      <c r="I15" s="11">
        <f>H15*POWER(2,Q15/1200)</f>
        <v>56.124869587541866</v>
      </c>
      <c r="J15" s="2">
        <v>440</v>
      </c>
      <c r="L15">
        <f t="shared" si="6"/>
        <v>0.97304860961912942</v>
      </c>
      <c r="M15">
        <f t="shared" ca="1" si="5"/>
        <v>0.43791500364836</v>
      </c>
      <c r="N15" s="7">
        <v>0.20618208392437076</v>
      </c>
      <c r="O15">
        <v>0.76502570891627752</v>
      </c>
      <c r="P15">
        <v>0.30041515417728826</v>
      </c>
      <c r="Q15" s="4">
        <f t="shared" ref="Q15:Q66" si="7">IF(O15&lt;0.5,1,-1)*(10+10*O15)</f>
        <v>-17.650257089162775</v>
      </c>
      <c r="R15" s="5"/>
    </row>
    <row r="16" spans="1:18" x14ac:dyDescent="0.3">
      <c r="A16" t="s">
        <v>8</v>
      </c>
      <c r="B16">
        <v>1</v>
      </c>
      <c r="C16" t="str">
        <f t="shared" si="2"/>
        <v>B1</v>
      </c>
      <c r="D16" s="10">
        <f t="shared" si="0"/>
        <v>61.735412657015402</v>
      </c>
      <c r="E16" s="7">
        <v>60.6</v>
      </c>
      <c r="F16" s="13">
        <v>23</v>
      </c>
      <c r="G16">
        <v>2</v>
      </c>
      <c r="H16" s="11">
        <f t="shared" si="4"/>
        <v>60.6</v>
      </c>
      <c r="I16" s="11">
        <f t="shared" ref="I16:I79" si="8">H16*POWER(2,Q16/1200)</f>
        <v>60.033137169348535</v>
      </c>
      <c r="J16" s="2">
        <v>440</v>
      </c>
      <c r="L16">
        <f t="shared" si="6"/>
        <v>0.98160840580553932</v>
      </c>
      <c r="M16">
        <f t="shared" ca="1" si="5"/>
        <v>0.96274259783826099</v>
      </c>
      <c r="N16" s="7">
        <v>0.39953080131459351</v>
      </c>
      <c r="O16">
        <v>0.62704789080491108</v>
      </c>
      <c r="P16">
        <v>0.43893441906221131</v>
      </c>
      <c r="Q16" s="4">
        <f t="shared" si="7"/>
        <v>-16.27047890804911</v>
      </c>
      <c r="R16" s="5"/>
    </row>
    <row r="17" spans="1:18" x14ac:dyDescent="0.3">
      <c r="A17" t="s">
        <v>9</v>
      </c>
      <c r="B17">
        <v>2</v>
      </c>
      <c r="C17" t="str">
        <f t="shared" si="2"/>
        <v>C2</v>
      </c>
      <c r="D17" s="10">
        <f t="shared" si="0"/>
        <v>65.406391325149542</v>
      </c>
      <c r="E17" s="7">
        <v>64</v>
      </c>
      <c r="F17" s="13">
        <v>24</v>
      </c>
      <c r="G17">
        <v>2</v>
      </c>
      <c r="H17" s="11">
        <f t="shared" si="4"/>
        <v>64</v>
      </c>
      <c r="I17" s="11">
        <f t="shared" si="8"/>
        <v>64.450556190651554</v>
      </c>
      <c r="J17" s="2">
        <v>440</v>
      </c>
      <c r="L17">
        <f t="shared" si="6"/>
        <v>0.97849764684068774</v>
      </c>
      <c r="M17">
        <f t="shared" ca="1" si="5"/>
        <v>0.14298812162817898</v>
      </c>
      <c r="N17" s="7">
        <v>0.40484968853932757</v>
      </c>
      <c r="O17">
        <v>0.21450843093938954</v>
      </c>
      <c r="P17">
        <v>0.18228159886303019</v>
      </c>
      <c r="Q17" s="4">
        <f t="shared" si="7"/>
        <v>12.145084309393894</v>
      </c>
      <c r="R17" s="5"/>
    </row>
    <row r="18" spans="1:18" x14ac:dyDescent="0.3">
      <c r="A18" t="s">
        <v>10</v>
      </c>
      <c r="B18">
        <v>2</v>
      </c>
      <c r="C18" t="str">
        <f t="shared" si="2"/>
        <v>C#2</v>
      </c>
      <c r="D18" s="10">
        <f t="shared" si="0"/>
        <v>69.295657744217905</v>
      </c>
      <c r="E18" s="7">
        <v>67.8</v>
      </c>
      <c r="F18" s="13">
        <v>25</v>
      </c>
      <c r="G18">
        <v>2</v>
      </c>
      <c r="H18" s="11">
        <f t="shared" si="4"/>
        <v>67.8</v>
      </c>
      <c r="I18" s="11">
        <f t="shared" si="8"/>
        <v>68.241166975765381</v>
      </c>
      <c r="J18" s="2">
        <v>440</v>
      </c>
      <c r="L18">
        <f t="shared" si="6"/>
        <v>0.97841628475858278</v>
      </c>
      <c r="M18">
        <f t="shared" ca="1" si="5"/>
        <v>0.90868259954260011</v>
      </c>
      <c r="N18" s="7">
        <v>0.33741213629515332</v>
      </c>
      <c r="O18">
        <v>0.12284536232686882</v>
      </c>
      <c r="P18">
        <v>2.5120587454022902E-2</v>
      </c>
      <c r="Q18" s="4">
        <f t="shared" si="7"/>
        <v>11.228453623268688</v>
      </c>
      <c r="R18" s="5"/>
    </row>
    <row r="19" spans="1:18" x14ac:dyDescent="0.3">
      <c r="A19" t="s">
        <v>11</v>
      </c>
      <c r="B19">
        <v>2</v>
      </c>
      <c r="C19" t="str">
        <f t="shared" si="2"/>
        <v>D2</v>
      </c>
      <c r="D19" s="10">
        <f t="shared" si="0"/>
        <v>73.416191979351765</v>
      </c>
      <c r="E19" s="7">
        <v>71.599999999999994</v>
      </c>
      <c r="F19" s="13">
        <v>26</v>
      </c>
      <c r="G19">
        <v>2</v>
      </c>
      <c r="H19" s="11">
        <f t="shared" si="4"/>
        <v>71.599999999999994</v>
      </c>
      <c r="I19" s="11">
        <f t="shared" si="8"/>
        <v>72.18460247346313</v>
      </c>
      <c r="J19" s="2">
        <v>440</v>
      </c>
      <c r="L19">
        <f t="shared" si="6"/>
        <v>0.97526169731245971</v>
      </c>
      <c r="M19">
        <f t="shared" ca="1" si="5"/>
        <v>0.92691957184296581</v>
      </c>
      <c r="N19" s="7">
        <v>0.27644326351109294</v>
      </c>
      <c r="O19">
        <v>0.40778534941592681</v>
      </c>
      <c r="P19">
        <v>0.24042581499649318</v>
      </c>
      <c r="Q19" s="4">
        <f t="shared" si="7"/>
        <v>14.077853494159267</v>
      </c>
      <c r="R19" s="5"/>
    </row>
    <row r="20" spans="1:18" x14ac:dyDescent="0.3">
      <c r="A20" t="s">
        <v>12</v>
      </c>
      <c r="B20">
        <v>2</v>
      </c>
      <c r="C20" t="str">
        <f t="shared" si="2"/>
        <v>D#2</v>
      </c>
      <c r="D20" s="10">
        <f t="shared" si="0"/>
        <v>77.781745930520103</v>
      </c>
      <c r="E20" s="7">
        <v>75.8</v>
      </c>
      <c r="F20" s="13">
        <v>27</v>
      </c>
      <c r="G20">
        <v>2</v>
      </c>
      <c r="H20" s="11">
        <f t="shared" si="4"/>
        <v>75.8</v>
      </c>
      <c r="I20" s="11">
        <f t="shared" si="8"/>
        <v>76.398728691793409</v>
      </c>
      <c r="J20" s="2">
        <v>440</v>
      </c>
      <c r="L20">
        <f t="shared" si="6"/>
        <v>0.97452170934437066</v>
      </c>
      <c r="M20">
        <f t="shared" ca="1" si="5"/>
        <v>2.1153740301500745E-2</v>
      </c>
      <c r="N20" s="7">
        <v>0.95355225691916257</v>
      </c>
      <c r="O20">
        <v>0.36209395867212324</v>
      </c>
      <c r="P20">
        <v>0.50705795907749507</v>
      </c>
      <c r="Q20" s="4">
        <f t="shared" si="7"/>
        <v>13.620939586721232</v>
      </c>
      <c r="R20" s="5"/>
    </row>
    <row r="21" spans="1:18" x14ac:dyDescent="0.3">
      <c r="A21" t="s">
        <v>13</v>
      </c>
      <c r="B21">
        <v>2</v>
      </c>
      <c r="C21" t="str">
        <f t="shared" si="2"/>
        <v>E2</v>
      </c>
      <c r="D21" s="10">
        <f t="shared" si="0"/>
        <v>82.406889228217352</v>
      </c>
      <c r="E21" s="7">
        <v>80.5</v>
      </c>
      <c r="F21" s="13">
        <v>28</v>
      </c>
      <c r="G21">
        <v>2</v>
      </c>
      <c r="H21" s="11">
        <f t="shared" si="4"/>
        <v>80.5</v>
      </c>
      <c r="I21" s="11">
        <f t="shared" si="8"/>
        <v>79.780024541997975</v>
      </c>
      <c r="J21" s="2">
        <v>440</v>
      </c>
      <c r="L21">
        <f t="shared" si="6"/>
        <v>0.97686007509716311</v>
      </c>
      <c r="M21">
        <f t="shared" ca="1" si="5"/>
        <v>0.34681579348522917</v>
      </c>
      <c r="N21" s="7">
        <v>0.49780031450639206</v>
      </c>
      <c r="O21">
        <v>0.55534591988638538</v>
      </c>
      <c r="P21">
        <v>0.654938280153054</v>
      </c>
      <c r="Q21" s="4">
        <f t="shared" si="7"/>
        <v>-15.553459198863854</v>
      </c>
      <c r="R21" s="5"/>
    </row>
    <row r="22" spans="1:18" x14ac:dyDescent="0.3">
      <c r="A22" t="s">
        <v>14</v>
      </c>
      <c r="B22">
        <v>2</v>
      </c>
      <c r="C22" t="str">
        <f t="shared" si="2"/>
        <v>F2</v>
      </c>
      <c r="D22" s="10">
        <f t="shared" si="0"/>
        <v>87.307057858250843</v>
      </c>
      <c r="E22" s="7">
        <v>85</v>
      </c>
      <c r="F22" s="13">
        <v>29</v>
      </c>
      <c r="G22">
        <v>2</v>
      </c>
      <c r="H22" s="11">
        <f t="shared" si="4"/>
        <v>85</v>
      </c>
      <c r="I22" s="11">
        <f t="shared" si="8"/>
        <v>85.620067026339342</v>
      </c>
      <c r="J22" s="2">
        <v>440</v>
      </c>
      <c r="L22">
        <f t="shared" si="6"/>
        <v>0.97357535673694884</v>
      </c>
      <c r="M22">
        <f t="shared" ca="1" si="5"/>
        <v>0.77863437929019264</v>
      </c>
      <c r="N22" s="7">
        <v>0.99777944707987265</v>
      </c>
      <c r="O22">
        <v>0.2583348411602473</v>
      </c>
      <c r="P22">
        <v>7.2494655820763865E-2</v>
      </c>
      <c r="Q22" s="4">
        <f t="shared" si="7"/>
        <v>12.583348411602472</v>
      </c>
      <c r="R22" s="5"/>
    </row>
    <row r="23" spans="1:18" x14ac:dyDescent="0.3">
      <c r="A23" t="s">
        <v>15</v>
      </c>
      <c r="B23">
        <v>2</v>
      </c>
      <c r="C23" t="str">
        <f t="shared" si="2"/>
        <v>F#2</v>
      </c>
      <c r="D23" s="10">
        <f t="shared" si="0"/>
        <v>92.498605677908472</v>
      </c>
      <c r="E23" s="7">
        <v>90.4</v>
      </c>
      <c r="F23" s="13">
        <v>30</v>
      </c>
      <c r="G23">
        <v>2</v>
      </c>
      <c r="H23" s="11">
        <f t="shared" si="4"/>
        <v>90.4</v>
      </c>
      <c r="I23" s="11">
        <f t="shared" si="8"/>
        <v>91.084212679181661</v>
      </c>
      <c r="J23" s="2">
        <v>440</v>
      </c>
      <c r="L23">
        <f t="shared" si="6"/>
        <v>0.97731202905678305</v>
      </c>
      <c r="M23">
        <f t="shared" ca="1" si="5"/>
        <v>0.17068751234555779</v>
      </c>
      <c r="N23" s="7">
        <v>0.34133183575900727</v>
      </c>
      <c r="O23">
        <v>0.30538946801511957</v>
      </c>
      <c r="P23">
        <v>0.97362831083026347</v>
      </c>
      <c r="Q23" s="4">
        <f t="shared" si="7"/>
        <v>13.053894680151195</v>
      </c>
      <c r="R23" s="5"/>
    </row>
    <row r="24" spans="1:18" x14ac:dyDescent="0.3">
      <c r="A24" t="s">
        <v>16</v>
      </c>
      <c r="B24">
        <v>2</v>
      </c>
      <c r="C24" t="str">
        <f t="shared" si="2"/>
        <v>G2</v>
      </c>
      <c r="D24" s="10">
        <f t="shared" si="0"/>
        <v>97.998858995437189</v>
      </c>
      <c r="E24" s="7">
        <v>95.6</v>
      </c>
      <c r="F24" s="13">
        <v>31</v>
      </c>
      <c r="G24">
        <v>2</v>
      </c>
      <c r="H24" s="11">
        <f t="shared" si="4"/>
        <v>95.6</v>
      </c>
      <c r="I24" s="11">
        <f t="shared" si="8"/>
        <v>96.20949850767343</v>
      </c>
      <c r="J24" s="2">
        <v>440</v>
      </c>
      <c r="L24">
        <f t="shared" si="6"/>
        <v>0.97552156198523821</v>
      </c>
      <c r="M24">
        <f t="shared" ca="1" si="5"/>
        <v>0.50260867833358025</v>
      </c>
      <c r="N24" s="7">
        <v>0.53002196191416406</v>
      </c>
      <c r="O24">
        <v>0.10024595139897474</v>
      </c>
      <c r="P24">
        <v>0.75605586713315631</v>
      </c>
      <c r="Q24" s="4">
        <f t="shared" si="7"/>
        <v>11.002459513989747</v>
      </c>
      <c r="R24" s="5"/>
    </row>
    <row r="25" spans="1:18" x14ac:dyDescent="0.3">
      <c r="A25" t="s">
        <v>17</v>
      </c>
      <c r="B25">
        <v>2</v>
      </c>
      <c r="C25" t="str">
        <f t="shared" si="2"/>
        <v>G#2</v>
      </c>
      <c r="D25" s="10">
        <f t="shared" si="0"/>
        <v>103.82617439498615</v>
      </c>
      <c r="E25" s="7">
        <v>101.5</v>
      </c>
      <c r="F25" s="13">
        <v>32</v>
      </c>
      <c r="G25">
        <v>2</v>
      </c>
      <c r="H25" s="11">
        <f t="shared" si="4"/>
        <v>101.5</v>
      </c>
      <c r="I25" s="11">
        <f t="shared" si="8"/>
        <v>100.60175777687121</v>
      </c>
      <c r="J25" s="2">
        <v>440</v>
      </c>
      <c r="L25">
        <f t="shared" si="6"/>
        <v>0.97759549161335091</v>
      </c>
      <c r="M25">
        <f t="shared" ca="1" si="5"/>
        <v>0.81743864700929969</v>
      </c>
      <c r="N25" s="7">
        <v>0.59781950223764457</v>
      </c>
      <c r="O25">
        <v>0.53890572513852375</v>
      </c>
      <c r="P25">
        <v>0.16756247344892694</v>
      </c>
      <c r="Q25" s="4">
        <f t="shared" si="7"/>
        <v>-15.389057251385237</v>
      </c>
      <c r="R25" s="5"/>
    </row>
    <row r="26" spans="1:18" x14ac:dyDescent="0.3">
      <c r="A26" t="s">
        <v>6</v>
      </c>
      <c r="B26">
        <v>2</v>
      </c>
      <c r="C26" t="str">
        <f t="shared" si="2"/>
        <v>A2</v>
      </c>
      <c r="D26" s="10">
        <f t="shared" si="0"/>
        <v>109.99999999999987</v>
      </c>
      <c r="E26" s="7">
        <v>107.6</v>
      </c>
      <c r="F26" s="13">
        <v>33</v>
      </c>
      <c r="G26">
        <v>2</v>
      </c>
      <c r="H26" s="11">
        <f t="shared" si="4"/>
        <v>107.6</v>
      </c>
      <c r="I26" s="11">
        <f t="shared" si="8"/>
        <v>106.37625464682117</v>
      </c>
      <c r="J26" s="2">
        <v>440</v>
      </c>
      <c r="L26">
        <f t="shared" si="6"/>
        <v>0.97818181818181926</v>
      </c>
      <c r="M26">
        <f t="shared" ca="1" si="5"/>
        <v>0.31750722106795592</v>
      </c>
      <c r="N26" s="7">
        <v>0.35425136900246146</v>
      </c>
      <c r="O26">
        <v>0.98023161483530852</v>
      </c>
      <c r="P26">
        <v>0.34845729848932128</v>
      </c>
      <c r="Q26" s="4">
        <f t="shared" si="7"/>
        <v>-19.802316148353086</v>
      </c>
      <c r="R26" s="5"/>
    </row>
    <row r="27" spans="1:18" x14ac:dyDescent="0.3">
      <c r="A27" t="s">
        <v>7</v>
      </c>
      <c r="B27">
        <v>2</v>
      </c>
      <c r="C27" t="str">
        <f t="shared" si="2"/>
        <v>A#2</v>
      </c>
      <c r="D27" s="10">
        <f t="shared" si="0"/>
        <v>116.54094037952235</v>
      </c>
      <c r="E27" s="7">
        <v>113.744</v>
      </c>
      <c r="F27" s="13">
        <v>34</v>
      </c>
      <c r="G27">
        <v>2</v>
      </c>
      <c r="H27" s="11">
        <f t="shared" si="4"/>
        <v>113.744</v>
      </c>
      <c r="I27" s="11">
        <f t="shared" si="8"/>
        <v>112.60453907226911</v>
      </c>
      <c r="J27" s="2">
        <v>440</v>
      </c>
      <c r="L27">
        <f t="shared" si="6"/>
        <v>0.9760003620151515</v>
      </c>
      <c r="M27">
        <f t="shared" ca="1" si="5"/>
        <v>0.4001827434371118</v>
      </c>
      <c r="N27" s="7">
        <v>0.87052133070268678</v>
      </c>
      <c r="O27">
        <v>0.74305540290955763</v>
      </c>
      <c r="P27">
        <v>0.5011488476398267</v>
      </c>
      <c r="Q27" s="4">
        <f t="shared" si="7"/>
        <v>-17.430554029095575</v>
      </c>
      <c r="R27" s="5"/>
    </row>
    <row r="28" spans="1:18" x14ac:dyDescent="0.3">
      <c r="A28" t="s">
        <v>8</v>
      </c>
      <c r="B28">
        <v>2</v>
      </c>
      <c r="C28" t="str">
        <f t="shared" si="2"/>
        <v>B2</v>
      </c>
      <c r="D28" s="10">
        <f t="shared" si="0"/>
        <v>123.4708253140309</v>
      </c>
      <c r="E28" s="7">
        <v>120.6</v>
      </c>
      <c r="F28" s="13">
        <v>35</v>
      </c>
      <c r="G28">
        <v>2</v>
      </c>
      <c r="H28" s="11">
        <f t="shared" si="4"/>
        <v>120.6</v>
      </c>
      <c r="I28" s="11">
        <f t="shared" si="8"/>
        <v>119.25309204552359</v>
      </c>
      <c r="J28" s="2">
        <v>440</v>
      </c>
      <c r="L28">
        <f t="shared" si="6"/>
        <v>0.97674895825204566</v>
      </c>
      <c r="M28">
        <f t="shared" ca="1" si="5"/>
        <v>0.95215793851297614</v>
      </c>
      <c r="N28" s="7">
        <v>0.85666535883446049</v>
      </c>
      <c r="O28">
        <v>0.94438804447709757</v>
      </c>
      <c r="P28">
        <v>0.28652916401137352</v>
      </c>
      <c r="Q28" s="4">
        <f t="shared" si="7"/>
        <v>-19.443880444770976</v>
      </c>
      <c r="R28" s="5"/>
    </row>
    <row r="29" spans="1:18" x14ac:dyDescent="0.3">
      <c r="A29" t="s">
        <v>9</v>
      </c>
      <c r="B29">
        <v>3</v>
      </c>
      <c r="C29" t="str">
        <f t="shared" si="2"/>
        <v>C3</v>
      </c>
      <c r="D29" s="10">
        <f t="shared" si="0"/>
        <v>130.8127826502992</v>
      </c>
      <c r="E29" s="7">
        <v>127.7</v>
      </c>
      <c r="F29" s="13">
        <v>36</v>
      </c>
      <c r="G29">
        <v>2</v>
      </c>
      <c r="H29" s="11">
        <f t="shared" si="4"/>
        <v>127.7</v>
      </c>
      <c r="I29" s="11">
        <f t="shared" si="8"/>
        <v>128.56306187956926</v>
      </c>
      <c r="J29" s="2">
        <v>440</v>
      </c>
      <c r="L29">
        <f t="shared" si="6"/>
        <v>0.97620429298090405</v>
      </c>
      <c r="M29">
        <f t="shared" ca="1" si="5"/>
        <v>0.90289006163283692</v>
      </c>
      <c r="N29" s="7">
        <v>0.40060425890931561</v>
      </c>
      <c r="O29">
        <v>0.16612027551608943</v>
      </c>
      <c r="P29">
        <v>0.83949817374097058</v>
      </c>
      <c r="Q29" s="4">
        <f t="shared" si="7"/>
        <v>11.661202755160895</v>
      </c>
      <c r="R29" s="5"/>
    </row>
    <row r="30" spans="1:18" x14ac:dyDescent="0.3">
      <c r="A30" t="s">
        <v>10</v>
      </c>
      <c r="B30">
        <v>3</v>
      </c>
      <c r="C30" t="str">
        <f t="shared" si="2"/>
        <v>C#3</v>
      </c>
      <c r="D30" s="10">
        <f t="shared" si="0"/>
        <v>138.59131548843592</v>
      </c>
      <c r="E30" s="7">
        <v>136</v>
      </c>
      <c r="F30" s="13">
        <v>37</v>
      </c>
      <c r="G30">
        <v>2</v>
      </c>
      <c r="H30" s="11">
        <f t="shared" si="4"/>
        <v>136</v>
      </c>
      <c r="I30" s="11">
        <f t="shared" si="8"/>
        <v>136.81578395898589</v>
      </c>
      <c r="J30" s="2">
        <v>440</v>
      </c>
      <c r="L30">
        <f t="shared" si="6"/>
        <v>0.98130246848943325</v>
      </c>
      <c r="M30">
        <f t="shared" ca="1" si="5"/>
        <v>0.49101010371384934</v>
      </c>
      <c r="N30" s="7">
        <v>0.32058727942291576</v>
      </c>
      <c r="O30">
        <v>3.536324432153648E-2</v>
      </c>
      <c r="P30">
        <v>0.34511628931338523</v>
      </c>
      <c r="Q30" s="4">
        <f t="shared" si="7"/>
        <v>10.353632443215364</v>
      </c>
      <c r="R30" s="5"/>
    </row>
    <row r="31" spans="1:18" x14ac:dyDescent="0.3">
      <c r="A31" t="s">
        <v>11</v>
      </c>
      <c r="B31">
        <v>3</v>
      </c>
      <c r="C31" t="str">
        <f t="shared" si="2"/>
        <v>D3</v>
      </c>
      <c r="D31" s="10">
        <f t="shared" si="0"/>
        <v>146.83238395870364</v>
      </c>
      <c r="E31" s="7">
        <v>144.1</v>
      </c>
      <c r="F31" s="13">
        <v>38</v>
      </c>
      <c r="G31">
        <v>2</v>
      </c>
      <c r="H31" s="11">
        <f t="shared" si="4"/>
        <v>144.1</v>
      </c>
      <c r="I31" s="11">
        <f t="shared" si="8"/>
        <v>145.12101241995063</v>
      </c>
      <c r="J31" s="2">
        <v>440</v>
      </c>
      <c r="L31">
        <f t="shared" si="6"/>
        <v>0.98139113535422728</v>
      </c>
      <c r="M31">
        <f t="shared" ca="1" si="5"/>
        <v>0.99350653020782598</v>
      </c>
      <c r="N31" s="7">
        <v>0.13760252597132794</v>
      </c>
      <c r="O31">
        <v>0.22233083558402711</v>
      </c>
      <c r="P31">
        <v>0.60322044857546187</v>
      </c>
      <c r="Q31" s="4">
        <f t="shared" si="7"/>
        <v>12.22330835584027</v>
      </c>
      <c r="R31" s="5"/>
    </row>
    <row r="32" spans="1:18" x14ac:dyDescent="0.3">
      <c r="A32" t="s">
        <v>12</v>
      </c>
      <c r="B32">
        <v>3</v>
      </c>
      <c r="C32" t="str">
        <f t="shared" si="2"/>
        <v>D#3</v>
      </c>
      <c r="D32" s="10">
        <f t="shared" si="0"/>
        <v>155.56349186104032</v>
      </c>
      <c r="E32" s="7">
        <v>149.5</v>
      </c>
      <c r="F32" s="13">
        <v>39</v>
      </c>
      <c r="G32">
        <v>3</v>
      </c>
      <c r="H32" s="11">
        <f t="shared" si="4"/>
        <v>149.5</v>
      </c>
      <c r="I32" s="11">
        <f t="shared" si="8"/>
        <v>147.82674727074811</v>
      </c>
      <c r="J32" s="11">
        <f>H32*POWER(2,R32/1200)</f>
        <v>151.14984271877316</v>
      </c>
      <c r="L32">
        <f t="shared" si="6"/>
        <v>0.96102239806717227</v>
      </c>
      <c r="M32">
        <f t="shared" ca="1" si="5"/>
        <v>0.23680911271294336</v>
      </c>
      <c r="N32" s="7">
        <v>0.11275382012540103</v>
      </c>
      <c r="O32">
        <v>0.94857859624973917</v>
      </c>
      <c r="P32">
        <v>0.40007919901727385</v>
      </c>
      <c r="Q32" s="4">
        <f t="shared" si="7"/>
        <v>-19.485785962497392</v>
      </c>
      <c r="R32" s="4">
        <f t="shared" ref="R32:R66" si="9">IF(P32&lt;0.5,1,-1)*(15+10*P32)</f>
        <v>19.000791990172736</v>
      </c>
    </row>
    <row r="33" spans="1:18" x14ac:dyDescent="0.3">
      <c r="A33" t="s">
        <v>13</v>
      </c>
      <c r="B33">
        <v>3</v>
      </c>
      <c r="C33" t="str">
        <f t="shared" si="2"/>
        <v>E3</v>
      </c>
      <c r="D33" s="10">
        <f t="shared" si="0"/>
        <v>164.81377845643482</v>
      </c>
      <c r="E33" s="7">
        <v>160</v>
      </c>
      <c r="F33" s="13">
        <v>40</v>
      </c>
      <c r="G33">
        <v>3</v>
      </c>
      <c r="H33" s="11">
        <f t="shared" si="4"/>
        <v>160</v>
      </c>
      <c r="I33" s="11">
        <f t="shared" si="8"/>
        <v>158.34542540941158</v>
      </c>
      <c r="J33" s="11">
        <f t="shared" ref="J33:J86" si="10">H33*POWER(2,R33/1200)</f>
        <v>157.87003662626392</v>
      </c>
      <c r="L33">
        <f t="shared" si="6"/>
        <v>0.97079262121457133</v>
      </c>
      <c r="M33">
        <f t="shared" ca="1" si="5"/>
        <v>0.86126411269579928</v>
      </c>
      <c r="N33" s="7">
        <v>0.70878438486920547</v>
      </c>
      <c r="O33">
        <v>0.79960598293799168</v>
      </c>
      <c r="P33">
        <v>0.82014338023394295</v>
      </c>
      <c r="Q33" s="4">
        <f t="shared" si="7"/>
        <v>-17.996059829379917</v>
      </c>
      <c r="R33" s="4">
        <f t="shared" si="9"/>
        <v>-23.20143380233943</v>
      </c>
    </row>
    <row r="34" spans="1:18" x14ac:dyDescent="0.3">
      <c r="A34" t="s">
        <v>14</v>
      </c>
      <c r="B34">
        <v>3</v>
      </c>
      <c r="C34" t="str">
        <f t="shared" si="2"/>
        <v>F3</v>
      </c>
      <c r="D34" s="10">
        <f t="shared" si="0"/>
        <v>174.6141157165018</v>
      </c>
      <c r="E34" s="7">
        <v>170.2</v>
      </c>
      <c r="F34" s="13">
        <v>41</v>
      </c>
      <c r="G34">
        <v>3</v>
      </c>
      <c r="H34" s="11">
        <f t="shared" si="4"/>
        <v>170.2</v>
      </c>
      <c r="I34" s="11">
        <f t="shared" si="8"/>
        <v>171.25160684815268</v>
      </c>
      <c r="J34" s="11">
        <f t="shared" si="10"/>
        <v>167.98422526287672</v>
      </c>
      <c r="L34">
        <f t="shared" si="6"/>
        <v>0.97472073950957983</v>
      </c>
      <c r="M34">
        <f t="shared" ca="1" si="5"/>
        <v>0.57610579244610083</v>
      </c>
      <c r="N34" s="7">
        <v>0.61992022851264861</v>
      </c>
      <c r="O34">
        <v>6.6378544707464959E-2</v>
      </c>
      <c r="P34">
        <v>0.76863305634440848</v>
      </c>
      <c r="Q34" s="4">
        <f t="shared" si="7"/>
        <v>10.66378544707465</v>
      </c>
      <c r="R34" s="4">
        <f t="shared" si="9"/>
        <v>-22.686330563444084</v>
      </c>
    </row>
    <row r="35" spans="1:18" x14ac:dyDescent="0.3">
      <c r="A35" t="s">
        <v>15</v>
      </c>
      <c r="B35">
        <v>3</v>
      </c>
      <c r="C35" t="str">
        <f t="shared" si="2"/>
        <v>F#3</v>
      </c>
      <c r="D35" s="10">
        <f t="shared" si="0"/>
        <v>184.99721135581706</v>
      </c>
      <c r="E35" s="7">
        <v>177.8</v>
      </c>
      <c r="F35" s="13">
        <v>42</v>
      </c>
      <c r="G35">
        <v>3</v>
      </c>
      <c r="H35" s="11">
        <f t="shared" si="4"/>
        <v>177.8</v>
      </c>
      <c r="I35" s="11">
        <f t="shared" si="8"/>
        <v>175.82638810627162</v>
      </c>
      <c r="J35" s="11">
        <f t="shared" si="10"/>
        <v>179.84613808776169</v>
      </c>
      <c r="L35">
        <f t="shared" si="6"/>
        <v>0.96109556839765442</v>
      </c>
      <c r="M35">
        <f t="shared" ca="1" si="5"/>
        <v>0.10673623388099807</v>
      </c>
      <c r="N35" s="7">
        <v>0.30876621929633052</v>
      </c>
      <c r="O35">
        <v>0.93244605114711454</v>
      </c>
      <c r="P35">
        <v>0.4809427244433907</v>
      </c>
      <c r="Q35" s="4">
        <f t="shared" si="7"/>
        <v>-19.324460511471145</v>
      </c>
      <c r="R35" s="4">
        <f t="shared" si="9"/>
        <v>19.809427244433905</v>
      </c>
    </row>
    <row r="36" spans="1:18" x14ac:dyDescent="0.3">
      <c r="A36" t="s">
        <v>16</v>
      </c>
      <c r="B36">
        <v>3</v>
      </c>
      <c r="C36" t="str">
        <f t="shared" si="2"/>
        <v>G3</v>
      </c>
      <c r="D36" s="10">
        <f t="shared" si="0"/>
        <v>195.99771799087449</v>
      </c>
      <c r="E36" s="7">
        <v>190.4</v>
      </c>
      <c r="F36" s="13">
        <v>43</v>
      </c>
      <c r="G36">
        <v>3</v>
      </c>
      <c r="H36" s="11">
        <f t="shared" si="4"/>
        <v>190.4</v>
      </c>
      <c r="I36" s="11">
        <f t="shared" si="8"/>
        <v>188.44835735610886</v>
      </c>
      <c r="J36" s="11">
        <f t="shared" si="10"/>
        <v>187.86480547676132</v>
      </c>
      <c r="L36">
        <f t="shared" si="6"/>
        <v>0.9714398818095672</v>
      </c>
      <c r="M36">
        <f t="shared" ca="1" si="5"/>
        <v>0.83776144289856314</v>
      </c>
      <c r="N36" s="7">
        <v>0.63337685198477589</v>
      </c>
      <c r="O36">
        <v>0.78371109184919163</v>
      </c>
      <c r="P36">
        <v>0.82063926364763007</v>
      </c>
      <c r="Q36" s="4">
        <f t="shared" si="7"/>
        <v>-17.837110918491916</v>
      </c>
      <c r="R36" s="4">
        <f t="shared" si="9"/>
        <v>-23.206392636476302</v>
      </c>
    </row>
    <row r="37" spans="1:18" x14ac:dyDescent="0.3">
      <c r="A37" t="s">
        <v>17</v>
      </c>
      <c r="B37">
        <v>3</v>
      </c>
      <c r="C37" t="str">
        <f t="shared" si="2"/>
        <v>G#3</v>
      </c>
      <c r="D37" s="10">
        <f t="shared" si="0"/>
        <v>207.65234878997242</v>
      </c>
      <c r="E37" s="7">
        <v>200.8</v>
      </c>
      <c r="F37" s="13">
        <v>44</v>
      </c>
      <c r="G37">
        <v>3</v>
      </c>
      <c r="H37" s="11">
        <f t="shared" si="4"/>
        <v>200.8</v>
      </c>
      <c r="I37" s="11">
        <f t="shared" si="8"/>
        <v>198.84876917738359</v>
      </c>
      <c r="J37" s="11">
        <f t="shared" si="10"/>
        <v>203.09828414246306</v>
      </c>
      <c r="L37">
        <f t="shared" si="6"/>
        <v>0.96700086066975754</v>
      </c>
      <c r="M37">
        <f t="shared" ca="1" si="5"/>
        <v>0.51687605218193688</v>
      </c>
      <c r="N37" s="7">
        <v>0.58308396017811348</v>
      </c>
      <c r="O37">
        <v>0.69051644339464446</v>
      </c>
      <c r="P37">
        <v>0.47025383015105315</v>
      </c>
      <c r="Q37" s="4">
        <f t="shared" si="7"/>
        <v>-16.905164433946446</v>
      </c>
      <c r="R37" s="4">
        <f t="shared" si="9"/>
        <v>19.702538301510533</v>
      </c>
    </row>
    <row r="38" spans="1:18" x14ac:dyDescent="0.3">
      <c r="A38" t="s">
        <v>6</v>
      </c>
      <c r="B38">
        <v>3</v>
      </c>
      <c r="C38" t="str">
        <f t="shared" si="2"/>
        <v>A3</v>
      </c>
      <c r="D38" s="10">
        <f t="shared" ref="D38:D48" si="11">D39/POWER(2,1/12)</f>
        <v>219.99999999999986</v>
      </c>
      <c r="E38" s="7">
        <v>213.3</v>
      </c>
      <c r="F38" s="13">
        <v>45</v>
      </c>
      <c r="G38">
        <v>3</v>
      </c>
      <c r="H38" s="11">
        <f t="shared" si="4"/>
        <v>213.3</v>
      </c>
      <c r="I38" s="11">
        <f t="shared" si="8"/>
        <v>215.11109763820377</v>
      </c>
      <c r="J38" s="11">
        <f t="shared" si="10"/>
        <v>215.17986627762207</v>
      </c>
      <c r="L38">
        <f t="shared" si="6"/>
        <v>0.96954545454545527</v>
      </c>
      <c r="M38">
        <f t="shared" ca="1" si="5"/>
        <v>0.77530450564392572</v>
      </c>
      <c r="N38" s="7">
        <v>0.45021574197405823</v>
      </c>
      <c r="O38">
        <v>0.46375880236843336</v>
      </c>
      <c r="P38">
        <v>1.9095595871653659E-2</v>
      </c>
      <c r="Q38" s="4">
        <f t="shared" si="7"/>
        <v>14.637588023684334</v>
      </c>
      <c r="R38" s="4">
        <f t="shared" si="9"/>
        <v>15.190955958716536</v>
      </c>
    </row>
    <row r="39" spans="1:18" x14ac:dyDescent="0.3">
      <c r="A39" t="s">
        <v>7</v>
      </c>
      <c r="B39">
        <v>3</v>
      </c>
      <c r="C39" t="str">
        <f t="shared" si="2"/>
        <v>A#3</v>
      </c>
      <c r="D39" s="10">
        <f t="shared" si="11"/>
        <v>233.08188075904482</v>
      </c>
      <c r="E39" s="7">
        <v>227.5</v>
      </c>
      <c r="F39" s="13">
        <v>46</v>
      </c>
      <c r="G39">
        <v>3</v>
      </c>
      <c r="H39" s="11">
        <f t="shared" si="4"/>
        <v>227.5</v>
      </c>
      <c r="I39" s="11">
        <f t="shared" si="8"/>
        <v>225.09024520802035</v>
      </c>
      <c r="J39" s="11">
        <f t="shared" si="10"/>
        <v>229.54213243595618</v>
      </c>
      <c r="L39">
        <f t="shared" si="6"/>
        <v>0.97605184606856998</v>
      </c>
      <c r="M39">
        <f t="shared" ca="1" si="5"/>
        <v>0.61659368232859857</v>
      </c>
      <c r="N39" s="7">
        <v>0.2205184932163673</v>
      </c>
      <c r="O39">
        <v>0.84356115183090896</v>
      </c>
      <c r="P39">
        <v>4.7092700036374446E-2</v>
      </c>
      <c r="Q39" s="4">
        <f t="shared" si="7"/>
        <v>-18.435611518309088</v>
      </c>
      <c r="R39" s="4">
        <f t="shared" si="9"/>
        <v>15.470927000363744</v>
      </c>
    </row>
    <row r="40" spans="1:18" x14ac:dyDescent="0.3">
      <c r="A40" t="s">
        <v>8</v>
      </c>
      <c r="B40">
        <v>3</v>
      </c>
      <c r="C40" t="str">
        <f t="shared" si="2"/>
        <v>B3</v>
      </c>
      <c r="D40" s="10">
        <f t="shared" si="11"/>
        <v>246.94165062806192</v>
      </c>
      <c r="E40" s="7">
        <v>240</v>
      </c>
      <c r="F40" s="13">
        <v>47</v>
      </c>
      <c r="G40">
        <v>3</v>
      </c>
      <c r="H40" s="11">
        <f t="shared" si="4"/>
        <v>240</v>
      </c>
      <c r="I40" s="11">
        <f t="shared" si="8"/>
        <v>237.363248430185</v>
      </c>
      <c r="J40" s="11">
        <f t="shared" si="10"/>
        <v>242.23386040929677</v>
      </c>
      <c r="L40">
        <f t="shared" si="6"/>
        <v>0.97188951069855245</v>
      </c>
      <c r="M40">
        <f t="shared" ca="1" si="5"/>
        <v>0.86857154127394376</v>
      </c>
      <c r="N40" s="7">
        <v>0.30204449462085692</v>
      </c>
      <c r="O40">
        <v>0.91253957510642258</v>
      </c>
      <c r="P40">
        <v>0.10393667120038452</v>
      </c>
      <c r="Q40" s="4">
        <f t="shared" si="7"/>
        <v>-19.125395751064225</v>
      </c>
      <c r="R40" s="4">
        <f t="shared" si="9"/>
        <v>16.039366712003844</v>
      </c>
    </row>
    <row r="41" spans="1:18" x14ac:dyDescent="0.3">
      <c r="A41" t="s">
        <v>9</v>
      </c>
      <c r="B41">
        <v>4</v>
      </c>
      <c r="C41" t="str">
        <f t="shared" si="2"/>
        <v>C4</v>
      </c>
      <c r="D41" s="10">
        <f t="shared" si="11"/>
        <v>261.62556530059851</v>
      </c>
      <c r="E41" s="7">
        <v>252.6</v>
      </c>
      <c r="F41" s="13">
        <v>48</v>
      </c>
      <c r="G41">
        <v>3</v>
      </c>
      <c r="H41" s="11">
        <f t="shared" si="4"/>
        <v>252.6</v>
      </c>
      <c r="I41" s="11">
        <f t="shared" si="8"/>
        <v>254.41258590424252</v>
      </c>
      <c r="J41" s="11">
        <f t="shared" si="10"/>
        <v>249.53301693515306</v>
      </c>
      <c r="L41">
        <f t="shared" si="6"/>
        <v>0.96550197496858359</v>
      </c>
      <c r="M41">
        <f t="shared" ca="1" si="5"/>
        <v>0.58617737730472208</v>
      </c>
      <c r="N41" s="7">
        <v>0.96960269632308016</v>
      </c>
      <c r="O41">
        <v>0.23784848362369826</v>
      </c>
      <c r="P41">
        <v>0.6148705066683755</v>
      </c>
      <c r="Q41" s="4">
        <f t="shared" si="7"/>
        <v>12.378484836236982</v>
      </c>
      <c r="R41" s="4">
        <f t="shared" si="9"/>
        <v>-21.148705066683753</v>
      </c>
    </row>
    <row r="42" spans="1:18" x14ac:dyDescent="0.3">
      <c r="A42" t="s">
        <v>10</v>
      </c>
      <c r="B42">
        <v>4</v>
      </c>
      <c r="C42" t="str">
        <f t="shared" si="2"/>
        <v>C#4</v>
      </c>
      <c r="D42" s="10">
        <f t="shared" si="11"/>
        <v>277.18263097687196</v>
      </c>
      <c r="E42" s="7">
        <v>271.3</v>
      </c>
      <c r="F42" s="13">
        <v>49</v>
      </c>
      <c r="G42">
        <v>3</v>
      </c>
      <c r="H42" s="11">
        <f t="shared" si="4"/>
        <v>271.3</v>
      </c>
      <c r="I42" s="11">
        <f t="shared" si="8"/>
        <v>273.48362359332123</v>
      </c>
      <c r="J42" s="11">
        <f t="shared" si="10"/>
        <v>267.88897376837889</v>
      </c>
      <c r="L42">
        <f t="shared" si="6"/>
        <v>0.97877705772493806</v>
      </c>
      <c r="M42">
        <f t="shared" ca="1" si="5"/>
        <v>0.54260297655072987</v>
      </c>
      <c r="N42" s="7">
        <v>0.64894817609047195</v>
      </c>
      <c r="O42">
        <v>0.38784779742694309</v>
      </c>
      <c r="P42">
        <v>0.69046153468639615</v>
      </c>
      <c r="Q42" s="4">
        <f t="shared" si="7"/>
        <v>13.87847797426943</v>
      </c>
      <c r="R42" s="4">
        <f t="shared" si="9"/>
        <v>-21.904615346863963</v>
      </c>
    </row>
    <row r="43" spans="1:18" x14ac:dyDescent="0.3">
      <c r="A43" t="s">
        <v>11</v>
      </c>
      <c r="B43">
        <v>4</v>
      </c>
      <c r="C43" t="str">
        <f t="shared" si="2"/>
        <v>D4</v>
      </c>
      <c r="D43" s="10">
        <f t="shared" si="11"/>
        <v>293.66476791740746</v>
      </c>
      <c r="E43" s="7">
        <v>282.3</v>
      </c>
      <c r="F43" s="13">
        <v>50</v>
      </c>
      <c r="G43">
        <v>3</v>
      </c>
      <c r="H43" s="11">
        <f t="shared" si="4"/>
        <v>282.3</v>
      </c>
      <c r="I43" s="11">
        <f t="shared" si="8"/>
        <v>284.42425158453312</v>
      </c>
      <c r="J43" s="11">
        <f t="shared" si="10"/>
        <v>278.36693729532601</v>
      </c>
      <c r="L43">
        <f t="shared" si="6"/>
        <v>0.96130019955065305</v>
      </c>
      <c r="M43">
        <f t="shared" ca="1" si="5"/>
        <v>0.48914903848187863</v>
      </c>
      <c r="N43" s="7">
        <v>0.9671384975591113</v>
      </c>
      <c r="O43">
        <v>0.29784242858499166</v>
      </c>
      <c r="P43">
        <v>0.92895141930515579</v>
      </c>
      <c r="Q43" s="4">
        <f t="shared" si="7"/>
        <v>12.978424285849917</v>
      </c>
      <c r="R43" s="4">
        <f t="shared" si="9"/>
        <v>-24.289514193051559</v>
      </c>
    </row>
    <row r="44" spans="1:18" x14ac:dyDescent="0.3">
      <c r="A44" t="s">
        <v>12</v>
      </c>
      <c r="B44">
        <v>4</v>
      </c>
      <c r="C44" t="str">
        <f t="shared" si="2"/>
        <v>D#4</v>
      </c>
      <c r="D44" s="10">
        <f t="shared" si="11"/>
        <v>311.12698372208081</v>
      </c>
      <c r="E44" s="7">
        <v>298.10000000000002</v>
      </c>
      <c r="F44" s="13">
        <v>51</v>
      </c>
      <c r="G44">
        <v>3</v>
      </c>
      <c r="H44" s="11">
        <f t="shared" si="4"/>
        <v>298.10000000000002</v>
      </c>
      <c r="I44" s="11">
        <f t="shared" si="8"/>
        <v>300.15848923240344</v>
      </c>
      <c r="J44" s="11">
        <f t="shared" si="10"/>
        <v>301.18054362438676</v>
      </c>
      <c r="L44">
        <f t="shared" si="6"/>
        <v>0.95812968850777225</v>
      </c>
      <c r="M44">
        <f t="shared" ca="1" si="5"/>
        <v>0.74323535591811341</v>
      </c>
      <c r="N44" s="7">
        <v>0.16728056449427242</v>
      </c>
      <c r="O44">
        <v>0.19137154818931423</v>
      </c>
      <c r="P44">
        <v>0.27986388629462999</v>
      </c>
      <c r="Q44" s="4">
        <f t="shared" si="7"/>
        <v>11.913715481893142</v>
      </c>
      <c r="R44" s="4">
        <f t="shared" si="9"/>
        <v>17.798638862946298</v>
      </c>
    </row>
    <row r="45" spans="1:18" x14ac:dyDescent="0.3">
      <c r="A45" t="s">
        <v>13</v>
      </c>
      <c r="B45">
        <v>4</v>
      </c>
      <c r="C45" t="str">
        <f t="shared" si="2"/>
        <v>E4</v>
      </c>
      <c r="D45" s="10">
        <f t="shared" si="11"/>
        <v>329.62755691286986</v>
      </c>
      <c r="E45" s="7">
        <v>313.7</v>
      </c>
      <c r="F45" s="13">
        <v>52</v>
      </c>
      <c r="G45">
        <v>3</v>
      </c>
      <c r="H45" s="11">
        <f t="shared" si="4"/>
        <v>313.7</v>
      </c>
      <c r="I45" s="11">
        <f t="shared" si="8"/>
        <v>316.16067729140264</v>
      </c>
      <c r="J45" s="11">
        <f t="shared" si="10"/>
        <v>317.16825853516531</v>
      </c>
      <c r="L45">
        <f t="shared" si="6"/>
        <v>0.95168014148440871</v>
      </c>
      <c r="M45">
        <f t="shared" ca="1" si="5"/>
        <v>0.43927374355832771</v>
      </c>
      <c r="N45" s="7">
        <v>0.97014034368482205</v>
      </c>
      <c r="O45">
        <v>0.35268961437156021</v>
      </c>
      <c r="P45">
        <v>0.40354410069557245</v>
      </c>
      <c r="Q45" s="4">
        <f t="shared" si="7"/>
        <v>13.526896143715602</v>
      </c>
      <c r="R45" s="4">
        <f t="shared" si="9"/>
        <v>19.035441006955725</v>
      </c>
    </row>
    <row r="46" spans="1:18" x14ac:dyDescent="0.3">
      <c r="A46" t="s">
        <v>14</v>
      </c>
      <c r="B46">
        <v>4</v>
      </c>
      <c r="C46" t="str">
        <f t="shared" si="2"/>
        <v>F4</v>
      </c>
      <c r="D46" s="10">
        <f t="shared" si="11"/>
        <v>349.22823143300383</v>
      </c>
      <c r="E46" s="7">
        <v>342.9</v>
      </c>
      <c r="F46" s="13">
        <v>53</v>
      </c>
      <c r="G46">
        <v>3</v>
      </c>
      <c r="H46" s="11">
        <f t="shared" si="4"/>
        <v>342.9</v>
      </c>
      <c r="I46" s="11">
        <f t="shared" si="8"/>
        <v>345.7599903033344</v>
      </c>
      <c r="J46" s="11">
        <f t="shared" si="10"/>
        <v>345.98043548950159</v>
      </c>
      <c r="L46">
        <f t="shared" si="6"/>
        <v>0.98187938183852741</v>
      </c>
      <c r="M46">
        <f t="shared" ca="1" si="5"/>
        <v>0.203734261350482</v>
      </c>
      <c r="N46" s="7">
        <v>0.14184237276812373</v>
      </c>
      <c r="O46">
        <v>0.43796390922225192</v>
      </c>
      <c r="P46">
        <v>4.8306520680198917E-2</v>
      </c>
      <c r="Q46" s="4">
        <f t="shared" si="7"/>
        <v>14.379639092222519</v>
      </c>
      <c r="R46" s="4">
        <f t="shared" si="9"/>
        <v>15.483065206801989</v>
      </c>
    </row>
    <row r="47" spans="1:18" x14ac:dyDescent="0.3">
      <c r="A47" t="s">
        <v>15</v>
      </c>
      <c r="B47">
        <v>4</v>
      </c>
      <c r="C47" t="str">
        <f t="shared" si="2"/>
        <v>F#4</v>
      </c>
      <c r="D47" s="10">
        <f t="shared" si="11"/>
        <v>369.99442271163434</v>
      </c>
      <c r="E47" s="7">
        <v>360.9</v>
      </c>
      <c r="F47" s="13">
        <v>54</v>
      </c>
      <c r="G47">
        <v>3</v>
      </c>
      <c r="H47" s="11">
        <f t="shared" si="4"/>
        <v>360.9</v>
      </c>
      <c r="I47" s="11">
        <f t="shared" si="8"/>
        <v>357.40574962139902</v>
      </c>
      <c r="J47" s="11">
        <f t="shared" si="10"/>
        <v>356.47564669674529</v>
      </c>
      <c r="L47">
        <f t="shared" si="6"/>
        <v>0.97542010864655015</v>
      </c>
      <c r="M47">
        <f t="shared" ca="1" si="5"/>
        <v>0.99288603551745358</v>
      </c>
      <c r="N47" s="7">
        <v>0.87369324209203869</v>
      </c>
      <c r="O47">
        <v>0.68435598706794232</v>
      </c>
      <c r="P47">
        <v>0.6354748344626352</v>
      </c>
      <c r="Q47" s="4">
        <f t="shared" si="7"/>
        <v>-16.843559870679421</v>
      </c>
      <c r="R47" s="4">
        <f t="shared" si="9"/>
        <v>-21.354748344626351</v>
      </c>
    </row>
    <row r="48" spans="1:18" x14ac:dyDescent="0.3">
      <c r="A48" t="s">
        <v>16</v>
      </c>
      <c r="B48">
        <v>4</v>
      </c>
      <c r="C48" t="str">
        <f t="shared" si="2"/>
        <v>G4</v>
      </c>
      <c r="D48" s="10">
        <f t="shared" si="11"/>
        <v>391.99543598174927</v>
      </c>
      <c r="E48" s="7">
        <v>381</v>
      </c>
      <c r="F48" s="13">
        <v>55</v>
      </c>
      <c r="G48">
        <v>3</v>
      </c>
      <c r="H48" s="11">
        <f t="shared" si="4"/>
        <v>381</v>
      </c>
      <c r="I48" s="11">
        <f t="shared" si="8"/>
        <v>377.35828395252526</v>
      </c>
      <c r="J48" s="11">
        <f t="shared" si="10"/>
        <v>385.34519311809277</v>
      </c>
      <c r="L48">
        <f t="shared" si="6"/>
        <v>0.97195009183152525</v>
      </c>
      <c r="M48">
        <f t="shared" ca="1" si="5"/>
        <v>0.10383067113623867</v>
      </c>
      <c r="N48" s="7">
        <v>0.23215110927673421</v>
      </c>
      <c r="O48">
        <v>0.66272629040672137</v>
      </c>
      <c r="P48">
        <v>0.46324762244845508</v>
      </c>
      <c r="Q48" s="4">
        <f t="shared" si="7"/>
        <v>-16.627262904067216</v>
      </c>
      <c r="R48" s="4">
        <f t="shared" si="9"/>
        <v>19.632476224484549</v>
      </c>
    </row>
    <row r="49" spans="1:18" x14ac:dyDescent="0.3">
      <c r="A49" t="s">
        <v>17</v>
      </c>
      <c r="B49">
        <v>4</v>
      </c>
      <c r="C49" t="str">
        <f t="shared" si="2"/>
        <v>G#4</v>
      </c>
      <c r="D49" s="10">
        <f>D50/POWER(2,1/12)</f>
        <v>415.30469757994513</v>
      </c>
      <c r="E49" s="7">
        <v>400</v>
      </c>
      <c r="F49" s="13">
        <v>56</v>
      </c>
      <c r="G49">
        <v>3</v>
      </c>
      <c r="H49" s="11">
        <f t="shared" si="4"/>
        <v>400</v>
      </c>
      <c r="I49" s="11">
        <f t="shared" si="8"/>
        <v>396.32381555918653</v>
      </c>
      <c r="J49" s="11">
        <f t="shared" si="10"/>
        <v>394.32470011372851</v>
      </c>
      <c r="L49">
        <f t="shared" si="6"/>
        <v>0.96314826759935934</v>
      </c>
      <c r="M49">
        <f t="shared" ca="1" si="5"/>
        <v>0.39938732569812518</v>
      </c>
      <c r="N49" s="7">
        <v>0.41140424416952115</v>
      </c>
      <c r="O49">
        <v>0.59844042388589413</v>
      </c>
      <c r="P49">
        <v>0.97391012602048621</v>
      </c>
      <c r="Q49" s="4">
        <f t="shared" si="7"/>
        <v>-15.984404238858941</v>
      </c>
      <c r="R49" s="4">
        <f t="shared" si="9"/>
        <v>-24.739101260204862</v>
      </c>
    </row>
    <row r="50" spans="1:18" x14ac:dyDescent="0.3">
      <c r="A50" t="s">
        <v>6</v>
      </c>
      <c r="B50">
        <v>4</v>
      </c>
      <c r="C50" t="str">
        <f t="shared" si="2"/>
        <v>A4</v>
      </c>
      <c r="D50" s="9">
        <v>440</v>
      </c>
      <c r="E50" s="7">
        <v>422.9</v>
      </c>
      <c r="F50" s="13">
        <v>57</v>
      </c>
      <c r="G50">
        <v>3</v>
      </c>
      <c r="H50" s="11">
        <f t="shared" si="4"/>
        <v>422.9</v>
      </c>
      <c r="I50" s="11">
        <f t="shared" si="8"/>
        <v>426.14611734112231</v>
      </c>
      <c r="J50" s="11">
        <f t="shared" si="10"/>
        <v>417.78962384073805</v>
      </c>
      <c r="L50">
        <f t="shared" si="6"/>
        <v>0.96113636363636357</v>
      </c>
      <c r="M50">
        <f t="shared" ca="1" si="5"/>
        <v>0.58893242557119085</v>
      </c>
      <c r="N50" s="7">
        <v>0.45922463930133517</v>
      </c>
      <c r="O50">
        <v>0.32379528876982533</v>
      </c>
      <c r="P50">
        <v>0.60478776844320814</v>
      </c>
      <c r="Q50" s="4">
        <f t="shared" si="7"/>
        <v>13.237952887698253</v>
      </c>
      <c r="R50" s="4">
        <f t="shared" si="9"/>
        <v>-21.047877684432081</v>
      </c>
    </row>
    <row r="51" spans="1:18" x14ac:dyDescent="0.3">
      <c r="A51" t="s">
        <v>7</v>
      </c>
      <c r="B51">
        <v>4</v>
      </c>
      <c r="C51" t="str">
        <f t="shared" si="2"/>
        <v>A#4</v>
      </c>
      <c r="D51" s="10">
        <f>D50*POWER(2,1/12)</f>
        <v>466.16376151808993</v>
      </c>
      <c r="E51" s="7">
        <v>450.7</v>
      </c>
      <c r="F51" s="13">
        <v>58</v>
      </c>
      <c r="G51">
        <v>3</v>
      </c>
      <c r="H51" s="11">
        <f t="shared" si="4"/>
        <v>450.7</v>
      </c>
      <c r="I51" s="11">
        <f t="shared" si="8"/>
        <v>446.23193813132514</v>
      </c>
      <c r="J51" s="11">
        <f t="shared" si="10"/>
        <v>454.6507285734495</v>
      </c>
      <c r="L51">
        <f t="shared" si="6"/>
        <v>0.9668276198309983</v>
      </c>
      <c r="M51">
        <f t="shared" ca="1" si="5"/>
        <v>0.55693081435855485</v>
      </c>
      <c r="N51" s="7">
        <v>0.27298193365189094</v>
      </c>
      <c r="O51">
        <v>0.7248409821832793</v>
      </c>
      <c r="P51">
        <v>1.0945763640030526E-2</v>
      </c>
      <c r="Q51" s="4">
        <f t="shared" si="7"/>
        <v>-17.248409821832794</v>
      </c>
      <c r="R51" s="4">
        <f t="shared" si="9"/>
        <v>15.109457636400306</v>
      </c>
    </row>
    <row r="52" spans="1:18" x14ac:dyDescent="0.3">
      <c r="A52" t="s">
        <v>8</v>
      </c>
      <c r="B52">
        <v>4</v>
      </c>
      <c r="C52" t="str">
        <f t="shared" si="2"/>
        <v>B4</v>
      </c>
      <c r="D52" s="10">
        <f t="shared" ref="D52:D86" si="12">D51*POWER(2,1/12)</f>
        <v>493.88330125612413</v>
      </c>
      <c r="E52" s="7">
        <v>480</v>
      </c>
      <c r="F52" s="13">
        <v>59</v>
      </c>
      <c r="G52">
        <v>3</v>
      </c>
      <c r="H52" s="11">
        <f t="shared" si="4"/>
        <v>480</v>
      </c>
      <c r="I52" s="11">
        <f t="shared" si="8"/>
        <v>483.48797498446555</v>
      </c>
      <c r="J52" s="11">
        <f t="shared" si="10"/>
        <v>485.12442098872589</v>
      </c>
      <c r="L52">
        <f t="shared" si="6"/>
        <v>0.9718895106985519</v>
      </c>
      <c r="M52">
        <f t="shared" ca="1" si="5"/>
        <v>2.2246891829062032E-2</v>
      </c>
      <c r="N52" s="7">
        <v>0.90367281274799927</v>
      </c>
      <c r="O52">
        <v>0.25347229889997436</v>
      </c>
      <c r="P52">
        <v>0.3384480331190548</v>
      </c>
      <c r="Q52" s="4">
        <f t="shared" si="7"/>
        <v>12.534722988999743</v>
      </c>
      <c r="R52" s="4">
        <f t="shared" si="9"/>
        <v>18.384480331190549</v>
      </c>
    </row>
    <row r="53" spans="1:18" x14ac:dyDescent="0.3">
      <c r="A53" t="s">
        <v>9</v>
      </c>
      <c r="B53">
        <v>5</v>
      </c>
      <c r="C53" t="str">
        <f t="shared" si="2"/>
        <v>C5</v>
      </c>
      <c r="D53" s="10">
        <f t="shared" si="12"/>
        <v>523.25113060119736</v>
      </c>
      <c r="E53" s="7">
        <v>505.3</v>
      </c>
      <c r="F53" s="13">
        <v>60</v>
      </c>
      <c r="G53">
        <v>3</v>
      </c>
      <c r="H53" s="11">
        <f t="shared" si="4"/>
        <v>505.3</v>
      </c>
      <c r="I53" s="11">
        <f t="shared" si="8"/>
        <v>508.41713276744986</v>
      </c>
      <c r="J53" s="11">
        <f t="shared" si="10"/>
        <v>510.09512376520325</v>
      </c>
      <c r="L53">
        <f t="shared" si="6"/>
        <v>0.96569308779023155</v>
      </c>
      <c r="M53">
        <f t="shared" ca="1" si="5"/>
        <v>0.55584896091743052</v>
      </c>
      <c r="N53" s="7">
        <v>0.33401603606125274</v>
      </c>
      <c r="O53">
        <v>6.4696100453187744E-2</v>
      </c>
      <c r="P53">
        <v>0.1351355348312191</v>
      </c>
      <c r="Q53" s="4">
        <f t="shared" si="7"/>
        <v>10.646961004531878</v>
      </c>
      <c r="R53" s="4">
        <f t="shared" si="9"/>
        <v>16.35135534831219</v>
      </c>
    </row>
    <row r="54" spans="1:18" x14ac:dyDescent="0.3">
      <c r="A54" t="s">
        <v>10</v>
      </c>
      <c r="B54">
        <v>5</v>
      </c>
      <c r="C54" t="str">
        <f t="shared" si="2"/>
        <v>C#5</v>
      </c>
      <c r="D54" s="10">
        <f t="shared" si="12"/>
        <v>554.36526195374427</v>
      </c>
      <c r="E54" s="7">
        <v>530.5</v>
      </c>
      <c r="F54" s="13">
        <v>61</v>
      </c>
      <c r="G54">
        <v>3</v>
      </c>
      <c r="H54" s="11">
        <f t="shared" si="4"/>
        <v>530.5</v>
      </c>
      <c r="I54" s="11">
        <f t="shared" si="8"/>
        <v>525.25712514455461</v>
      </c>
      <c r="J54" s="11">
        <v>510.2</v>
      </c>
      <c r="K54" t="s">
        <v>25</v>
      </c>
      <c r="L54">
        <f t="shared" si="6"/>
        <v>0.95695029326037462</v>
      </c>
      <c r="M54">
        <f t="shared" ca="1" si="5"/>
        <v>0.89589524587487146</v>
      </c>
      <c r="N54" s="7">
        <v>0.78782993494586073</v>
      </c>
      <c r="O54">
        <v>0.71947086365782553</v>
      </c>
      <c r="P54">
        <v>0.84862053810609028</v>
      </c>
      <c r="Q54" s="4">
        <f t="shared" si="7"/>
        <v>-17.194708636578255</v>
      </c>
      <c r="R54" s="4">
        <f t="shared" si="9"/>
        <v>-23.486205381060902</v>
      </c>
    </row>
    <row r="55" spans="1:18" x14ac:dyDescent="0.3">
      <c r="A55" t="s">
        <v>11</v>
      </c>
      <c r="B55">
        <v>5</v>
      </c>
      <c r="C55" t="str">
        <f t="shared" si="2"/>
        <v>D5</v>
      </c>
      <c r="D55" s="10">
        <f t="shared" si="12"/>
        <v>587.32953583481526</v>
      </c>
      <c r="E55" s="7">
        <v>551.70000000000005</v>
      </c>
      <c r="F55" s="13">
        <v>62</v>
      </c>
      <c r="G55">
        <v>3</v>
      </c>
      <c r="H55" s="11">
        <f t="shared" si="4"/>
        <v>551.70000000000005</v>
      </c>
      <c r="I55" s="11">
        <f t="shared" si="8"/>
        <v>555.7511940895854</v>
      </c>
      <c r="J55" s="11">
        <f t="shared" si="10"/>
        <v>544.76626301898523</v>
      </c>
      <c r="L55">
        <f t="shared" si="6"/>
        <v>0.93933637990098307</v>
      </c>
      <c r="M55">
        <f t="shared" ca="1" si="5"/>
        <v>0.90838468511304071</v>
      </c>
      <c r="N55" s="7">
        <v>0.32262435562402192</v>
      </c>
      <c r="O55">
        <v>0.26661950789893329</v>
      </c>
      <c r="P55">
        <v>0.68959432991700309</v>
      </c>
      <c r="Q55" s="4">
        <f t="shared" si="7"/>
        <v>12.666195078989333</v>
      </c>
      <c r="R55" s="4">
        <f t="shared" si="9"/>
        <v>-21.895943299170032</v>
      </c>
    </row>
    <row r="56" spans="1:18" x14ac:dyDescent="0.3">
      <c r="A56" t="s">
        <v>12</v>
      </c>
      <c r="B56">
        <v>5</v>
      </c>
      <c r="C56" t="str">
        <f t="shared" si="2"/>
        <v>D#5</v>
      </c>
      <c r="D56" s="10">
        <f t="shared" si="12"/>
        <v>622.25396744416196</v>
      </c>
      <c r="E56" s="7">
        <v>600</v>
      </c>
      <c r="F56" s="13">
        <v>63</v>
      </c>
      <c r="G56">
        <v>3</v>
      </c>
      <c r="H56" s="11">
        <f t="shared" si="4"/>
        <v>600</v>
      </c>
      <c r="I56" s="11">
        <f t="shared" si="8"/>
        <v>604.9236617541352</v>
      </c>
      <c r="J56" s="11">
        <f t="shared" si="10"/>
        <v>606.00131702743022</v>
      </c>
      <c r="L56">
        <f t="shared" si="6"/>
        <v>0.96423651979983727</v>
      </c>
      <c r="M56">
        <f t="shared" ca="1" si="5"/>
        <v>0.57158638250103566</v>
      </c>
      <c r="N56" s="7">
        <v>0.91897761332231853</v>
      </c>
      <c r="O56">
        <v>0.41487109760651852</v>
      </c>
      <c r="P56">
        <v>0.22301140811523223</v>
      </c>
      <c r="Q56" s="4">
        <f t="shared" si="7"/>
        <v>14.148710976065185</v>
      </c>
      <c r="R56" s="4">
        <f t="shared" si="9"/>
        <v>17.230114081152323</v>
      </c>
    </row>
    <row r="57" spans="1:18" x14ac:dyDescent="0.3">
      <c r="A57" t="s">
        <v>13</v>
      </c>
      <c r="B57">
        <v>5</v>
      </c>
      <c r="C57" t="str">
        <f t="shared" si="2"/>
        <v>E5</v>
      </c>
      <c r="D57" s="10">
        <f t="shared" si="12"/>
        <v>659.25511382574007</v>
      </c>
      <c r="E57" s="7">
        <v>635.20000000000005</v>
      </c>
      <c r="F57" s="13">
        <v>64</v>
      </c>
      <c r="G57">
        <v>3</v>
      </c>
      <c r="H57" s="11">
        <f t="shared" si="4"/>
        <v>635.20000000000005</v>
      </c>
      <c r="I57" s="11">
        <f t="shared" si="8"/>
        <v>639.67843670273987</v>
      </c>
      <c r="J57" s="11">
        <f t="shared" si="10"/>
        <v>641.16239539721641</v>
      </c>
      <c r="L57">
        <f t="shared" si="6"/>
        <v>0.96351167655546088</v>
      </c>
      <c r="M57">
        <f t="shared" ca="1" si="5"/>
        <v>0.24116700508955113</v>
      </c>
      <c r="N57" s="7">
        <v>0.29246561980543551</v>
      </c>
      <c r="O57">
        <v>0.21631267342815119</v>
      </c>
      <c r="P57">
        <v>0.1174680557994332</v>
      </c>
      <c r="Q57" s="4">
        <f t="shared" si="7"/>
        <v>12.163126734281512</v>
      </c>
      <c r="R57" s="4">
        <f t="shared" si="9"/>
        <v>16.174680557994332</v>
      </c>
    </row>
    <row r="58" spans="1:18" x14ac:dyDescent="0.3">
      <c r="A58" t="s">
        <v>14</v>
      </c>
      <c r="B58">
        <v>5</v>
      </c>
      <c r="C58" t="str">
        <f t="shared" si="2"/>
        <v>F5</v>
      </c>
      <c r="D58" s="10">
        <f t="shared" si="12"/>
        <v>698.456462866008</v>
      </c>
      <c r="E58" s="7">
        <v>671.2</v>
      </c>
      <c r="F58" s="13">
        <v>65</v>
      </c>
      <c r="G58">
        <v>3</v>
      </c>
      <c r="H58" s="11">
        <f t="shared" si="4"/>
        <v>671.2</v>
      </c>
      <c r="I58" s="11">
        <f t="shared" si="8"/>
        <v>675.56829924093677</v>
      </c>
      <c r="J58" s="11">
        <f t="shared" si="10"/>
        <v>677.92698452923946</v>
      </c>
      <c r="L58">
        <f t="shared" si="6"/>
        <v>0.96097614623799843</v>
      </c>
      <c r="M58">
        <f t="shared" ca="1" si="5"/>
        <v>0.30187841719204422</v>
      </c>
      <c r="N58" s="7">
        <v>0.74772967135635671</v>
      </c>
      <c r="O58">
        <v>0.12306993082745421</v>
      </c>
      <c r="P58">
        <v>0.22646182509401325</v>
      </c>
      <c r="Q58" s="4">
        <f t="shared" si="7"/>
        <v>11.230699308274541</v>
      </c>
      <c r="R58" s="4">
        <f t="shared" si="9"/>
        <v>17.264618250940131</v>
      </c>
    </row>
    <row r="59" spans="1:18" x14ac:dyDescent="0.3">
      <c r="A59" t="s">
        <v>15</v>
      </c>
      <c r="B59">
        <v>5</v>
      </c>
      <c r="C59" t="str">
        <f t="shared" si="2"/>
        <v>F#5</v>
      </c>
      <c r="D59" s="10">
        <f t="shared" si="12"/>
        <v>739.98884542326903</v>
      </c>
      <c r="E59" s="7">
        <v>705.8</v>
      </c>
      <c r="F59" s="13">
        <v>66</v>
      </c>
      <c r="G59">
        <v>3</v>
      </c>
      <c r="H59" s="11">
        <f t="shared" si="4"/>
        <v>705.8</v>
      </c>
      <c r="I59" s="11">
        <f t="shared" si="8"/>
        <v>698.4203413721491</v>
      </c>
      <c r="J59" s="11">
        <f t="shared" si="10"/>
        <v>696.53656378570349</v>
      </c>
      <c r="L59">
        <f t="shared" si="6"/>
        <v>0.95379816110104565</v>
      </c>
      <c r="M59">
        <f t="shared" ca="1" si="5"/>
        <v>0.77842478800310666</v>
      </c>
      <c r="N59" s="7">
        <v>0.69621562359731126</v>
      </c>
      <c r="O59">
        <v>0.81966227525643343</v>
      </c>
      <c r="P59">
        <v>0.7872411472510179</v>
      </c>
      <c r="Q59" s="4">
        <f t="shared" si="7"/>
        <v>-18.196622752564334</v>
      </c>
      <c r="R59" s="4">
        <f t="shared" si="9"/>
        <v>-22.87241147251018</v>
      </c>
    </row>
    <row r="60" spans="1:18" x14ac:dyDescent="0.3">
      <c r="A60" t="s">
        <v>16</v>
      </c>
      <c r="B60">
        <v>5</v>
      </c>
      <c r="C60" t="str">
        <f t="shared" si="2"/>
        <v>G5</v>
      </c>
      <c r="D60" s="10">
        <f t="shared" si="12"/>
        <v>783.99087196349888</v>
      </c>
      <c r="E60" s="7">
        <v>755.9</v>
      </c>
      <c r="F60" s="13">
        <v>67</v>
      </c>
      <c r="G60">
        <v>3</v>
      </c>
      <c r="H60" s="11">
        <f t="shared" si="4"/>
        <v>755.9</v>
      </c>
      <c r="I60" s="11">
        <f t="shared" si="8"/>
        <v>760.72693659521951</v>
      </c>
      <c r="J60" s="11">
        <f t="shared" si="10"/>
        <v>746.95568821622533</v>
      </c>
      <c r="L60">
        <f t="shared" si="6"/>
        <v>0.96416938899665305</v>
      </c>
      <c r="M60">
        <f t="shared" ca="1" si="5"/>
        <v>0.46951920715209972</v>
      </c>
      <c r="N60" s="7">
        <v>0.20909957463594775</v>
      </c>
      <c r="O60">
        <v>0.10199614692644388</v>
      </c>
      <c r="P60">
        <v>0.56072746146168517</v>
      </c>
      <c r="Q60" s="4">
        <f t="shared" si="7"/>
        <v>11.019961469264439</v>
      </c>
      <c r="R60" s="4">
        <f t="shared" si="9"/>
        <v>-20.607274614616852</v>
      </c>
    </row>
    <row r="61" spans="1:18" x14ac:dyDescent="0.3">
      <c r="A61" t="s">
        <v>17</v>
      </c>
      <c r="B61">
        <v>5</v>
      </c>
      <c r="C61" t="str">
        <f t="shared" si="2"/>
        <v>G#5</v>
      </c>
      <c r="D61" s="10">
        <f t="shared" si="12"/>
        <v>830.6093951598906</v>
      </c>
      <c r="E61" s="7">
        <v>800</v>
      </c>
      <c r="F61" s="13">
        <v>68</v>
      </c>
      <c r="G61">
        <v>3</v>
      </c>
      <c r="H61" s="11">
        <f t="shared" si="4"/>
        <v>800</v>
      </c>
      <c r="I61" s="11">
        <f t="shared" si="8"/>
        <v>792.94951413091951</v>
      </c>
      <c r="J61" s="11">
        <f t="shared" si="10"/>
        <v>790.25181839533423</v>
      </c>
      <c r="L61">
        <f t="shared" si="6"/>
        <v>0.96314826759935901</v>
      </c>
      <c r="M61">
        <f t="shared" ca="1" si="5"/>
        <v>0.56739042776670812</v>
      </c>
      <c r="N61" s="7">
        <v>0.79346297452888637</v>
      </c>
      <c r="O61">
        <v>0.5325182370257604</v>
      </c>
      <c r="P61">
        <v>0.62250602134010591</v>
      </c>
      <c r="Q61" s="4">
        <f t="shared" si="7"/>
        <v>-15.325182370257604</v>
      </c>
      <c r="R61" s="4">
        <f t="shared" si="9"/>
        <v>-21.225060213401058</v>
      </c>
    </row>
    <row r="62" spans="1:18" x14ac:dyDescent="0.3">
      <c r="A62" t="s">
        <v>6</v>
      </c>
      <c r="B62">
        <v>5</v>
      </c>
      <c r="C62" t="str">
        <f t="shared" si="2"/>
        <v>A5</v>
      </c>
      <c r="D62" s="10">
        <f t="shared" si="12"/>
        <v>880.00000000000034</v>
      </c>
      <c r="E62" s="7">
        <v>847.1</v>
      </c>
      <c r="F62" s="13">
        <v>69</v>
      </c>
      <c r="G62">
        <v>3</v>
      </c>
      <c r="H62" s="11">
        <f t="shared" si="4"/>
        <v>847.1</v>
      </c>
      <c r="I62" s="11">
        <f t="shared" si="8"/>
        <v>853.38624963015968</v>
      </c>
      <c r="J62" s="11">
        <f t="shared" si="10"/>
        <v>856.49944519661392</v>
      </c>
      <c r="L62">
        <f t="shared" si="6"/>
        <v>0.96261363636363606</v>
      </c>
      <c r="M62">
        <f t="shared" ca="1" si="5"/>
        <v>7.2286654744275203E-2</v>
      </c>
      <c r="N62" s="7">
        <v>0.31149909990883551</v>
      </c>
      <c r="O62">
        <v>0.27998905942204111</v>
      </c>
      <c r="P62">
        <v>0.41040267571065558</v>
      </c>
      <c r="Q62" s="4">
        <f t="shared" si="7"/>
        <v>12.799890594220411</v>
      </c>
      <c r="R62" s="4">
        <f t="shared" si="9"/>
        <v>19.104026757106556</v>
      </c>
    </row>
    <row r="63" spans="1:18" x14ac:dyDescent="0.3">
      <c r="A63" t="s">
        <v>7</v>
      </c>
      <c r="B63">
        <v>5</v>
      </c>
      <c r="C63" t="str">
        <f t="shared" si="2"/>
        <v>A#5</v>
      </c>
      <c r="D63" s="10">
        <f t="shared" si="12"/>
        <v>932.3275230361802</v>
      </c>
      <c r="E63" s="7">
        <v>905.7</v>
      </c>
      <c r="F63" s="13">
        <v>70</v>
      </c>
      <c r="G63">
        <v>3</v>
      </c>
      <c r="H63" s="11">
        <f t="shared" si="4"/>
        <v>905.7</v>
      </c>
      <c r="I63" s="11">
        <f t="shared" si="8"/>
        <v>897.76742064243354</v>
      </c>
      <c r="J63" s="11">
        <f t="shared" si="10"/>
        <v>914.47614573938517</v>
      </c>
      <c r="L63">
        <f t="shared" si="6"/>
        <v>0.97143973294978359</v>
      </c>
      <c r="M63">
        <f t="shared" ca="1" si="5"/>
        <v>0.68348696349215354</v>
      </c>
      <c r="N63" s="7">
        <v>0.48031537986172113</v>
      </c>
      <c r="O63">
        <v>0.5229817727110555</v>
      </c>
      <c r="P63">
        <v>0.16947359457334521</v>
      </c>
      <c r="Q63" s="4">
        <f t="shared" si="7"/>
        <v>-15.229817727110555</v>
      </c>
      <c r="R63" s="4">
        <f t="shared" si="9"/>
        <v>16.694735945733452</v>
      </c>
    </row>
    <row r="64" spans="1:18" x14ac:dyDescent="0.3">
      <c r="A64" t="s">
        <v>8</v>
      </c>
      <c r="B64">
        <v>5</v>
      </c>
      <c r="C64" t="str">
        <f t="shared" si="2"/>
        <v>B5</v>
      </c>
      <c r="D64" s="10">
        <f t="shared" si="12"/>
        <v>987.7666025122486</v>
      </c>
      <c r="E64" s="7">
        <v>947.4</v>
      </c>
      <c r="F64" s="13">
        <v>71</v>
      </c>
      <c r="G64">
        <v>3</v>
      </c>
      <c r="H64" s="11">
        <f t="shared" si="4"/>
        <v>947.4</v>
      </c>
      <c r="I64" s="11">
        <f t="shared" si="8"/>
        <v>955.41152080899667</v>
      </c>
      <c r="J64" s="11">
        <f t="shared" si="10"/>
        <v>934.43596880992664</v>
      </c>
      <c r="L64">
        <f t="shared" si="6"/>
        <v>0.95913346087063311</v>
      </c>
      <c r="M64">
        <f t="shared" ca="1" si="5"/>
        <v>0.79719234615435286</v>
      </c>
      <c r="N64" s="7">
        <v>0.80102559709529053</v>
      </c>
      <c r="O64">
        <v>0.45783220417559756</v>
      </c>
      <c r="P64">
        <v>0.88534363705458041</v>
      </c>
      <c r="Q64" s="4">
        <f t="shared" si="7"/>
        <v>14.578322041755975</v>
      </c>
      <c r="R64" s="4">
        <f t="shared" si="9"/>
        <v>-23.853436370545804</v>
      </c>
    </row>
    <row r="65" spans="1:18" x14ac:dyDescent="0.3">
      <c r="A65" t="s">
        <v>9</v>
      </c>
      <c r="B65">
        <v>6</v>
      </c>
      <c r="C65" t="str">
        <f t="shared" si="2"/>
        <v>C6</v>
      </c>
      <c r="D65" s="10">
        <f t="shared" si="12"/>
        <v>1046.5022612023949</v>
      </c>
      <c r="E65" s="7">
        <v>1021.2</v>
      </c>
      <c r="F65" s="13">
        <v>72</v>
      </c>
      <c r="G65">
        <v>3</v>
      </c>
      <c r="H65" s="11">
        <f t="shared" si="4"/>
        <v>1021.2</v>
      </c>
      <c r="I65" s="11">
        <f t="shared" si="8"/>
        <v>1011.8602209400278</v>
      </c>
      <c r="J65" s="11">
        <f t="shared" si="10"/>
        <v>1030.3778599943366</v>
      </c>
      <c r="L65">
        <f t="shared" si="6"/>
        <v>0.97582206733760568</v>
      </c>
      <c r="M65">
        <f t="shared" ca="1" si="5"/>
        <v>0.95219221324219816</v>
      </c>
      <c r="N65" s="7">
        <v>0.28828332955544012</v>
      </c>
      <c r="O65">
        <v>0.59065207240841122</v>
      </c>
      <c r="P65">
        <v>4.8966775791988493E-2</v>
      </c>
      <c r="Q65" s="4">
        <f t="shared" si="7"/>
        <v>-15.906520724084112</v>
      </c>
      <c r="R65" s="4">
        <f t="shared" si="9"/>
        <v>15.489667757919886</v>
      </c>
    </row>
    <row r="66" spans="1:18" x14ac:dyDescent="0.3">
      <c r="A66" t="s">
        <v>10</v>
      </c>
      <c r="B66">
        <v>6</v>
      </c>
      <c r="C66" t="str">
        <f t="shared" si="2"/>
        <v>C#6</v>
      </c>
      <c r="D66" s="10">
        <f t="shared" si="12"/>
        <v>1108.7305239074888</v>
      </c>
      <c r="E66" s="7">
        <v>1066.8</v>
      </c>
      <c r="F66" s="13">
        <v>73</v>
      </c>
      <c r="G66">
        <v>3</v>
      </c>
      <c r="H66" s="11">
        <f t="shared" si="4"/>
        <v>1066.8</v>
      </c>
      <c r="I66" s="11">
        <f t="shared" si="8"/>
        <v>1055.6706464470196</v>
      </c>
      <c r="J66" s="11">
        <f t="shared" si="10"/>
        <v>1077.8501927788029</v>
      </c>
      <c r="L66">
        <f t="shared" si="6"/>
        <v>0.96218150127254232</v>
      </c>
      <c r="M66">
        <f t="shared" ca="1" si="5"/>
        <v>1.7185776407700359E-2</v>
      </c>
      <c r="N66" s="7">
        <v>0.48899291055505756</v>
      </c>
      <c r="O66">
        <v>0.81559094238566399</v>
      </c>
      <c r="P66">
        <v>0.28403353091990091</v>
      </c>
      <c r="Q66" s="4">
        <f t="shared" si="7"/>
        <v>-18.155909423856642</v>
      </c>
      <c r="R66" s="4">
        <f t="shared" si="9"/>
        <v>17.840335309199009</v>
      </c>
    </row>
    <row r="67" spans="1:18" x14ac:dyDescent="0.3">
      <c r="A67" t="s">
        <v>11</v>
      </c>
      <c r="B67">
        <v>6</v>
      </c>
      <c r="C67" t="str">
        <f t="shared" ref="C67:C86" si="13">_xlfn.CONCAT(A67,B67)</f>
        <v>D6</v>
      </c>
      <c r="D67" s="10">
        <f t="shared" si="12"/>
        <v>1174.6590716696307</v>
      </c>
      <c r="E67" s="7">
        <v>1133.9000000000001</v>
      </c>
      <c r="F67" s="13">
        <v>74</v>
      </c>
      <c r="G67">
        <v>3</v>
      </c>
      <c r="H67" s="11">
        <f t="shared" ref="H67:H86" si="14">E67</f>
        <v>1133.9000000000001</v>
      </c>
      <c r="I67" s="11">
        <f t="shared" si="8"/>
        <v>1140.6257512115737</v>
      </c>
      <c r="J67" s="11">
        <f t="shared" si="10"/>
        <v>1143.8164763418795</v>
      </c>
      <c r="L67">
        <f t="shared" si="6"/>
        <v>0.96530136049458437</v>
      </c>
      <c r="M67">
        <f t="shared" ref="M67:M72" ca="1" si="15">RAND()</f>
        <v>0.92673769371581194</v>
      </c>
      <c r="N67" s="7">
        <v>0.80047770738788393</v>
      </c>
      <c r="O67">
        <v>2.3851537767080933E-2</v>
      </c>
      <c r="P67">
        <v>7.4615421897479273E-3</v>
      </c>
      <c r="Q67" s="4">
        <f t="shared" ref="Q67:Q86" si="16">IF(O67&lt;0.5,1,-1)*(10+10*O67)</f>
        <v>10.23851537767081</v>
      </c>
      <c r="R67" s="4">
        <f t="shared" ref="R67:R86" si="17">IF(P67&lt;0.5,1,-1)*(15+10*P67)</f>
        <v>15.07461542189748</v>
      </c>
    </row>
    <row r="68" spans="1:18" x14ac:dyDescent="0.3">
      <c r="A68" t="s">
        <v>12</v>
      </c>
      <c r="B68">
        <v>6</v>
      </c>
      <c r="C68" t="str">
        <f t="shared" si="13"/>
        <v>D#6</v>
      </c>
      <c r="D68" s="10">
        <f t="shared" si="12"/>
        <v>1244.5079348883241</v>
      </c>
      <c r="E68" s="7">
        <v>1200</v>
      </c>
      <c r="F68" s="13">
        <v>75</v>
      </c>
      <c r="G68">
        <v>3</v>
      </c>
      <c r="H68" s="11">
        <f t="shared" si="14"/>
        <v>1200</v>
      </c>
      <c r="I68" s="11">
        <f t="shared" si="8"/>
        <v>1210.3892588760937</v>
      </c>
      <c r="J68" s="11">
        <f t="shared" si="10"/>
        <v>1186.2031412174931</v>
      </c>
      <c r="L68">
        <f t="shared" si="6"/>
        <v>0.96423651979983716</v>
      </c>
      <c r="M68">
        <f t="shared" ca="1" si="15"/>
        <v>5.199974337494806E-2</v>
      </c>
      <c r="N68" s="7">
        <v>0.46632345703033884</v>
      </c>
      <c r="O68">
        <v>0.49240211120064836</v>
      </c>
      <c r="P68">
        <v>0.50199701844028</v>
      </c>
      <c r="Q68" s="4">
        <f t="shared" si="16"/>
        <v>14.924021112006484</v>
      </c>
      <c r="R68" s="4">
        <f t="shared" si="17"/>
        <v>-20.019970184402801</v>
      </c>
    </row>
    <row r="69" spans="1:18" x14ac:dyDescent="0.3">
      <c r="A69" t="s">
        <v>13</v>
      </c>
      <c r="B69">
        <v>6</v>
      </c>
      <c r="C69" t="str">
        <f t="shared" si="13"/>
        <v>E6</v>
      </c>
      <c r="D69" s="10">
        <f t="shared" si="12"/>
        <v>1318.5102276514804</v>
      </c>
      <c r="E69" s="7">
        <v>1288.5999999999999</v>
      </c>
      <c r="F69" s="13">
        <v>76</v>
      </c>
      <c r="G69">
        <v>3</v>
      </c>
      <c r="H69" s="11">
        <f t="shared" si="14"/>
        <v>1288.5999999999999</v>
      </c>
      <c r="I69" s="11">
        <f t="shared" si="8"/>
        <v>1298.9856306331521</v>
      </c>
      <c r="J69" s="11">
        <f t="shared" si="10"/>
        <v>1272.9672885170348</v>
      </c>
      <c r="L69">
        <f t="shared" si="6"/>
        <v>0.97731513413835525</v>
      </c>
      <c r="M69">
        <f t="shared" ca="1" si="15"/>
        <v>0.85146134733548329</v>
      </c>
      <c r="N69" s="7">
        <v>0.74207184365936485</v>
      </c>
      <c r="O69">
        <v>0.38971663077040186</v>
      </c>
      <c r="P69">
        <v>0.6130983766892707</v>
      </c>
      <c r="Q69" s="4">
        <f t="shared" si="16"/>
        <v>13.897166307704019</v>
      </c>
      <c r="R69" s="4">
        <f t="shared" si="17"/>
        <v>-21.130983766892708</v>
      </c>
    </row>
    <row r="70" spans="1:18" x14ac:dyDescent="0.3">
      <c r="A70" t="s">
        <v>14</v>
      </c>
      <c r="B70">
        <v>6</v>
      </c>
      <c r="C70" t="str">
        <f t="shared" si="13"/>
        <v>F6</v>
      </c>
      <c r="D70" s="10">
        <f t="shared" si="12"/>
        <v>1396.9129257320162</v>
      </c>
      <c r="E70" s="7">
        <v>1361.72</v>
      </c>
      <c r="F70" s="13">
        <v>77</v>
      </c>
      <c r="G70">
        <v>3</v>
      </c>
      <c r="H70" s="11">
        <f t="shared" si="14"/>
        <v>1361.72</v>
      </c>
      <c r="I70" s="11">
        <f t="shared" si="8"/>
        <v>1372.2369988781941</v>
      </c>
      <c r="J70" s="11">
        <f t="shared" si="10"/>
        <v>1343.5383189372324</v>
      </c>
      <c r="L70">
        <f t="shared" si="6"/>
        <v>0.97480664321752608</v>
      </c>
      <c r="M70">
        <f t="shared" ca="1" si="15"/>
        <v>0.94890319139618984</v>
      </c>
      <c r="N70" s="7">
        <v>0.96530053340657029</v>
      </c>
      <c r="O70">
        <v>0.33195045647023369</v>
      </c>
      <c r="P70">
        <v>0.82711375864112258</v>
      </c>
      <c r="Q70" s="4">
        <f t="shared" si="16"/>
        <v>13.319504564702337</v>
      </c>
      <c r="R70" s="4">
        <f t="shared" si="17"/>
        <v>-23.271137586411225</v>
      </c>
    </row>
    <row r="71" spans="1:18" x14ac:dyDescent="0.3">
      <c r="A71" t="s">
        <v>15</v>
      </c>
      <c r="B71">
        <v>6</v>
      </c>
      <c r="C71" t="str">
        <f t="shared" si="13"/>
        <v>F#6</v>
      </c>
      <c r="D71" s="10">
        <f t="shared" si="12"/>
        <v>1479.9776908465383</v>
      </c>
      <c r="E71" s="7">
        <v>1454.6</v>
      </c>
      <c r="F71" s="13">
        <v>78</v>
      </c>
      <c r="G71">
        <v>3</v>
      </c>
      <c r="H71" s="11">
        <f t="shared" si="14"/>
        <v>1454.6</v>
      </c>
      <c r="I71" s="11">
        <f t="shared" si="8"/>
        <v>1466.3075781741125</v>
      </c>
      <c r="J71" s="11">
        <f t="shared" si="10"/>
        <v>1437.5162883653702</v>
      </c>
      <c r="L71">
        <f t="shared" si="6"/>
        <v>0.98285265311531655</v>
      </c>
      <c r="M71">
        <f t="shared" ca="1" si="15"/>
        <v>0.56330773465728678</v>
      </c>
      <c r="N71" s="7">
        <v>0.12934481239966189</v>
      </c>
      <c r="O71">
        <v>0.38783347081595376</v>
      </c>
      <c r="P71">
        <v>0.54530138608784051</v>
      </c>
      <c r="Q71" s="4">
        <f t="shared" si="16"/>
        <v>13.878334708159539</v>
      </c>
      <c r="R71" s="4">
        <f t="shared" si="17"/>
        <v>-20.453013860878407</v>
      </c>
    </row>
    <row r="72" spans="1:18" x14ac:dyDescent="0.3">
      <c r="A72" t="s">
        <v>16</v>
      </c>
      <c r="B72">
        <v>6</v>
      </c>
      <c r="C72" t="str">
        <f t="shared" si="13"/>
        <v>G6</v>
      </c>
      <c r="D72" s="10">
        <f t="shared" si="12"/>
        <v>1567.981743926998</v>
      </c>
      <c r="E72" s="7">
        <v>1536</v>
      </c>
      <c r="F72" s="13">
        <v>79</v>
      </c>
      <c r="G72">
        <v>3</v>
      </c>
      <c r="H72" s="11">
        <f t="shared" si="14"/>
        <v>1536</v>
      </c>
      <c r="I72" s="11">
        <f t="shared" si="8"/>
        <v>1547.7238119721187</v>
      </c>
      <c r="J72" s="11">
        <f t="shared" si="10"/>
        <v>1516.2904723844406</v>
      </c>
      <c r="L72">
        <f t="shared" si="6"/>
        <v>0.97960324216090677</v>
      </c>
      <c r="M72">
        <f t="shared" ca="1" si="15"/>
        <v>0.63931881934293355</v>
      </c>
      <c r="N72" s="7">
        <v>0.14921015862555653</v>
      </c>
      <c r="O72">
        <v>0.31637990289937701</v>
      </c>
      <c r="P72">
        <v>0.73584746433264214</v>
      </c>
      <c r="Q72" s="4">
        <f t="shared" si="16"/>
        <v>13.16379902899377</v>
      </c>
      <c r="R72" s="4">
        <f t="shared" si="17"/>
        <v>-22.358474643326421</v>
      </c>
    </row>
    <row r="73" spans="1:18" x14ac:dyDescent="0.3">
      <c r="A73" t="s">
        <v>17</v>
      </c>
      <c r="B73">
        <v>6</v>
      </c>
      <c r="C73" t="str">
        <f t="shared" si="13"/>
        <v>G#6</v>
      </c>
      <c r="D73" s="10">
        <f t="shared" si="12"/>
        <v>1661.2187903197814</v>
      </c>
      <c r="E73" s="8">
        <f>D73*(0.97+(N73-0.5)*0.03)</f>
        <v>1590.5065891261613</v>
      </c>
      <c r="F73" s="13">
        <v>80</v>
      </c>
      <c r="G73">
        <v>3</v>
      </c>
      <c r="H73" s="11">
        <f t="shared" si="14"/>
        <v>1590.5065891261613</v>
      </c>
      <c r="I73" s="11">
        <f t="shared" si="8"/>
        <v>1575.3706469141007</v>
      </c>
      <c r="J73" s="11">
        <f t="shared" si="10"/>
        <v>1605.9410056308957</v>
      </c>
      <c r="L73" s="3">
        <f t="shared" si="6"/>
        <v>0.95743354120139212</v>
      </c>
      <c r="M73">
        <f t="shared" ref="M73:M86" ca="1" si="18">RAND()</f>
        <v>0.34812713112630844</v>
      </c>
      <c r="N73" s="7">
        <v>8.1118040046405104E-2</v>
      </c>
      <c r="O73">
        <v>0.65540583059682622</v>
      </c>
      <c r="P73">
        <v>0.17190571779802499</v>
      </c>
      <c r="Q73" s="4">
        <f t="shared" si="16"/>
        <v>-16.554058305968262</v>
      </c>
      <c r="R73" s="4">
        <f t="shared" si="17"/>
        <v>16.71905717798025</v>
      </c>
    </row>
    <row r="74" spans="1:18" x14ac:dyDescent="0.3">
      <c r="A74" t="s">
        <v>6</v>
      </c>
      <c r="B74">
        <v>6</v>
      </c>
      <c r="C74" t="str">
        <f t="shared" si="13"/>
        <v>A6</v>
      </c>
      <c r="D74" s="10">
        <f t="shared" si="12"/>
        <v>1760.0000000000009</v>
      </c>
      <c r="E74" s="8">
        <f t="shared" ref="E74:E86" si="19">D74*(0.97+(N74-0.5)*0.03)</f>
        <v>1690.2702899020896</v>
      </c>
      <c r="F74" s="13">
        <v>81</v>
      </c>
      <c r="G74">
        <v>3</v>
      </c>
      <c r="H74" s="11">
        <f t="shared" si="14"/>
        <v>1690.2702899020896</v>
      </c>
      <c r="I74" s="11">
        <f t="shared" si="8"/>
        <v>1675.6702566268534</v>
      </c>
      <c r="J74" s="11">
        <f t="shared" si="10"/>
        <v>1667.7485133409089</v>
      </c>
      <c r="L74" s="3">
        <f t="shared" si="6"/>
        <v>0.96038084653527767</v>
      </c>
      <c r="M74">
        <f t="shared" ca="1" si="18"/>
        <v>0.54618562086210343</v>
      </c>
      <c r="N74" s="7">
        <v>0.17936155117592445</v>
      </c>
      <c r="O74">
        <v>0.50188233545192706</v>
      </c>
      <c r="P74">
        <v>0.82226520171639494</v>
      </c>
      <c r="Q74" s="4">
        <f t="shared" si="16"/>
        <v>-15.01882335451927</v>
      </c>
      <c r="R74" s="4">
        <f t="shared" si="17"/>
        <v>-23.222652017163949</v>
      </c>
    </row>
    <row r="75" spans="1:18" x14ac:dyDescent="0.3">
      <c r="A75" t="s">
        <v>7</v>
      </c>
      <c r="B75">
        <v>6</v>
      </c>
      <c r="C75" t="str">
        <f t="shared" si="13"/>
        <v>A#6</v>
      </c>
      <c r="D75" s="10">
        <f t="shared" si="12"/>
        <v>1864.6550460723606</v>
      </c>
      <c r="E75" s="8">
        <f t="shared" si="19"/>
        <v>1802.7002832270318</v>
      </c>
      <c r="F75" s="13">
        <v>82</v>
      </c>
      <c r="G75">
        <v>3</v>
      </c>
      <c r="H75" s="11">
        <f t="shared" si="14"/>
        <v>1802.7002832270318</v>
      </c>
      <c r="I75" s="11">
        <f t="shared" si="8"/>
        <v>1817.3027727823496</v>
      </c>
      <c r="J75" s="11">
        <f t="shared" si="10"/>
        <v>1819.991239538607</v>
      </c>
      <c r="L75" s="3">
        <f t="shared" si="6"/>
        <v>0.96677414250114091</v>
      </c>
      <c r="M75">
        <f t="shared" ca="1" si="18"/>
        <v>0.5871078438788081</v>
      </c>
      <c r="N75" s="7">
        <v>0.39247141670469787</v>
      </c>
      <c r="O75">
        <v>0.39670955236321814</v>
      </c>
      <c r="P75">
        <v>0.15263420514367654</v>
      </c>
      <c r="Q75" s="4">
        <f t="shared" si="16"/>
        <v>13.967095523632182</v>
      </c>
      <c r="R75" s="4">
        <f t="shared" si="17"/>
        <v>16.526342051436764</v>
      </c>
    </row>
    <row r="76" spans="1:18" x14ac:dyDescent="0.3">
      <c r="A76" t="s">
        <v>8</v>
      </c>
      <c r="B76">
        <v>6</v>
      </c>
      <c r="C76" t="str">
        <f t="shared" si="13"/>
        <v>B6</v>
      </c>
      <c r="D76" s="10">
        <f t="shared" si="12"/>
        <v>1975.5332050244976</v>
      </c>
      <c r="E76" s="8">
        <f t="shared" si="19"/>
        <v>1913.4616492138862</v>
      </c>
      <c r="F76" s="13">
        <v>83</v>
      </c>
      <c r="G76">
        <v>3</v>
      </c>
      <c r="H76" s="11">
        <f t="shared" si="14"/>
        <v>1913.4616492138862</v>
      </c>
      <c r="I76" s="11">
        <f t="shared" si="8"/>
        <v>1893.0340833868459</v>
      </c>
      <c r="J76" s="11">
        <f t="shared" si="10"/>
        <v>1886.6555790256812</v>
      </c>
      <c r="L76" s="3">
        <f t="shared" ref="L76:L86" si="20">E76/D76</f>
        <v>0.96857984687235776</v>
      </c>
      <c r="M76">
        <f t="shared" ca="1" si="18"/>
        <v>0.1224408217652545</v>
      </c>
      <c r="N76" s="7">
        <v>0.45266156241192723</v>
      </c>
      <c r="O76">
        <v>0.85815193210635365</v>
      </c>
      <c r="P76">
        <v>0.94246945027924911</v>
      </c>
      <c r="Q76" s="4">
        <f t="shared" si="16"/>
        <v>-18.581519321063539</v>
      </c>
      <c r="R76" s="4">
        <f t="shared" si="17"/>
        <v>-24.424694502792491</v>
      </c>
    </row>
    <row r="77" spans="1:18" x14ac:dyDescent="0.3">
      <c r="A77" t="s">
        <v>9</v>
      </c>
      <c r="B77">
        <v>7</v>
      </c>
      <c r="C77" t="str">
        <f t="shared" si="13"/>
        <v>C7</v>
      </c>
      <c r="D77" s="10">
        <f t="shared" si="12"/>
        <v>2093.0045224047904</v>
      </c>
      <c r="E77" s="8">
        <f t="shared" si="19"/>
        <v>2009.0757946010417</v>
      </c>
      <c r="F77" s="13">
        <v>84</v>
      </c>
      <c r="G77">
        <v>3</v>
      </c>
      <c r="H77" s="11">
        <f t="shared" si="14"/>
        <v>2009.0757946010417</v>
      </c>
      <c r="I77" s="11">
        <f t="shared" si="8"/>
        <v>1990.4277053521489</v>
      </c>
      <c r="J77" s="11">
        <f t="shared" si="10"/>
        <v>1983.6033140940463</v>
      </c>
      <c r="L77" s="3">
        <f t="shared" si="20"/>
        <v>0.95990036003012669</v>
      </c>
      <c r="M77">
        <f t="shared" ca="1" si="18"/>
        <v>0.22035438767411075</v>
      </c>
      <c r="N77" s="7">
        <v>0.16334533433755671</v>
      </c>
      <c r="O77">
        <v>0.61442244080580966</v>
      </c>
      <c r="P77">
        <v>0.70901418233504243</v>
      </c>
      <c r="Q77" s="4">
        <f t="shared" si="16"/>
        <v>-16.144224408058097</v>
      </c>
      <c r="R77" s="4">
        <f t="shared" si="17"/>
        <v>-22.090141823350425</v>
      </c>
    </row>
    <row r="78" spans="1:18" x14ac:dyDescent="0.3">
      <c r="A78" t="s">
        <v>10</v>
      </c>
      <c r="B78">
        <v>7</v>
      </c>
      <c r="C78" t="str">
        <f t="shared" si="13"/>
        <v>C#7</v>
      </c>
      <c r="D78" s="10">
        <f t="shared" si="12"/>
        <v>2217.4610478149784</v>
      </c>
      <c r="E78" s="8">
        <f t="shared" si="19"/>
        <v>2152.579553919622</v>
      </c>
      <c r="F78" s="13">
        <v>85</v>
      </c>
      <c r="G78">
        <v>3</v>
      </c>
      <c r="H78" s="11">
        <f t="shared" si="14"/>
        <v>2152.579553919622</v>
      </c>
      <c r="I78" s="11">
        <f t="shared" si="8"/>
        <v>2170.5688663925139</v>
      </c>
      <c r="J78" s="11">
        <f t="shared" si="10"/>
        <v>2122.0314589342443</v>
      </c>
      <c r="L78" s="3">
        <f t="shared" si="20"/>
        <v>0.97074063873217131</v>
      </c>
      <c r="M78">
        <f t="shared" ca="1" si="18"/>
        <v>0.17042487358578828</v>
      </c>
      <c r="N78" s="7">
        <v>0.52468795773904264</v>
      </c>
      <c r="O78">
        <v>0.4407967064767444</v>
      </c>
      <c r="P78">
        <v>0.97446152900437422</v>
      </c>
      <c r="Q78" s="4">
        <f t="shared" si="16"/>
        <v>14.407967064767444</v>
      </c>
      <c r="R78" s="4">
        <f t="shared" si="17"/>
        <v>-24.74461529004374</v>
      </c>
    </row>
    <row r="79" spans="1:18" x14ac:dyDescent="0.3">
      <c r="A79" t="s">
        <v>11</v>
      </c>
      <c r="B79">
        <v>7</v>
      </c>
      <c r="C79" t="str">
        <f t="shared" si="13"/>
        <v>D7</v>
      </c>
      <c r="D79" s="10">
        <f t="shared" si="12"/>
        <v>2349.3181433392624</v>
      </c>
      <c r="E79" s="8">
        <f t="shared" si="19"/>
        <v>2288.1793055165981</v>
      </c>
      <c r="F79" s="13">
        <v>86</v>
      </c>
      <c r="G79">
        <v>3</v>
      </c>
      <c r="H79" s="11">
        <f t="shared" si="14"/>
        <v>2288.1793055165981</v>
      </c>
      <c r="I79" s="11">
        <f t="shared" si="8"/>
        <v>2266.0759749443991</v>
      </c>
      <c r="J79" s="11">
        <f t="shared" si="10"/>
        <v>2258.8610213468801</v>
      </c>
      <c r="L79" s="3">
        <f t="shared" si="20"/>
        <v>0.97397592233474051</v>
      </c>
      <c r="M79">
        <f t="shared" ca="1" si="18"/>
        <v>0.52938977917386276</v>
      </c>
      <c r="N79" s="7">
        <v>0.63253074449134639</v>
      </c>
      <c r="O79">
        <v>0.68046526084290893</v>
      </c>
      <c r="P79">
        <v>0.73255179491770073</v>
      </c>
      <c r="Q79" s="4">
        <f t="shared" si="16"/>
        <v>-16.804652608429087</v>
      </c>
      <c r="R79" s="4">
        <f t="shared" si="17"/>
        <v>-22.325517949177005</v>
      </c>
    </row>
    <row r="80" spans="1:18" x14ac:dyDescent="0.3">
      <c r="A80" t="s">
        <v>12</v>
      </c>
      <c r="B80">
        <v>7</v>
      </c>
      <c r="C80" t="str">
        <f t="shared" si="13"/>
        <v>D#7</v>
      </c>
      <c r="D80" s="10">
        <f t="shared" si="12"/>
        <v>2489.0158697766497</v>
      </c>
      <c r="E80" s="8">
        <f t="shared" si="19"/>
        <v>2428.754050501625</v>
      </c>
      <c r="F80" s="13">
        <v>87</v>
      </c>
      <c r="G80">
        <v>3</v>
      </c>
      <c r="H80" s="11">
        <f t="shared" si="14"/>
        <v>2428.754050501625</v>
      </c>
      <c r="I80" s="11">
        <f t="shared" ref="I80:I86" si="21">H80*POWER(2,Q80/1200)</f>
        <v>2407.0639565530878</v>
      </c>
      <c r="J80" s="11">
        <f t="shared" si="10"/>
        <v>2394.7619462589869</v>
      </c>
      <c r="L80" s="3">
        <f t="shared" si="20"/>
        <v>0.97578889712726813</v>
      </c>
      <c r="M80">
        <f t="shared" ca="1" si="18"/>
        <v>0.26452940439916484</v>
      </c>
      <c r="N80" s="7">
        <v>0.69296323757560652</v>
      </c>
      <c r="O80">
        <v>0.55303119070566076</v>
      </c>
      <c r="P80">
        <v>0.94009815733479474</v>
      </c>
      <c r="Q80" s="4">
        <f t="shared" si="16"/>
        <v>-15.530311907056607</v>
      </c>
      <c r="R80" s="4">
        <f t="shared" si="17"/>
        <v>-24.400981573347948</v>
      </c>
    </row>
    <row r="81" spans="1:18" x14ac:dyDescent="0.3">
      <c r="A81" t="s">
        <v>13</v>
      </c>
      <c r="B81">
        <v>7</v>
      </c>
      <c r="C81" t="str">
        <f t="shared" si="13"/>
        <v>E7</v>
      </c>
      <c r="D81" s="10">
        <f t="shared" si="12"/>
        <v>2637.0204553029621</v>
      </c>
      <c r="E81" s="8">
        <f t="shared" si="19"/>
        <v>2541.7631271921573</v>
      </c>
      <c r="F81" s="13">
        <v>88</v>
      </c>
      <c r="G81">
        <v>3</v>
      </c>
      <c r="H81" s="11">
        <f t="shared" si="14"/>
        <v>2541.7631271921573</v>
      </c>
      <c r="I81" s="11">
        <f t="shared" si="21"/>
        <v>2561.5908935001835</v>
      </c>
      <c r="J81" s="11">
        <f t="shared" si="10"/>
        <v>2571.2170911250896</v>
      </c>
      <c r="L81" s="3">
        <f t="shared" si="20"/>
        <v>0.96387690966930295</v>
      </c>
      <c r="M81">
        <f t="shared" ca="1" si="18"/>
        <v>0.10782309378768229</v>
      </c>
      <c r="N81" s="7">
        <v>0.29589698897676608</v>
      </c>
      <c r="O81">
        <v>0.34525947964900594</v>
      </c>
      <c r="P81">
        <v>0.49462024590544684</v>
      </c>
      <c r="Q81" s="4">
        <f t="shared" si="16"/>
        <v>13.452594796490059</v>
      </c>
      <c r="R81" s="4">
        <f t="shared" si="17"/>
        <v>19.946202459054469</v>
      </c>
    </row>
    <row r="82" spans="1:18" x14ac:dyDescent="0.3">
      <c r="A82" t="s">
        <v>14</v>
      </c>
      <c r="B82">
        <v>7</v>
      </c>
      <c r="C82" t="str">
        <f t="shared" si="13"/>
        <v>F7</v>
      </c>
      <c r="D82" s="10">
        <f t="shared" si="12"/>
        <v>2793.8258514640338</v>
      </c>
      <c r="E82" s="8">
        <f t="shared" si="19"/>
        <v>2733.0735669920664</v>
      </c>
      <c r="F82" s="13">
        <v>89</v>
      </c>
      <c r="G82">
        <v>3</v>
      </c>
      <c r="H82" s="11">
        <f t="shared" si="14"/>
        <v>2733.0735669920664</v>
      </c>
      <c r="I82" s="11">
        <f t="shared" si="21"/>
        <v>2706.5670942150778</v>
      </c>
      <c r="J82" s="11">
        <f t="shared" si="10"/>
        <v>2696.7470647435116</v>
      </c>
      <c r="L82" s="3">
        <f t="shared" si="20"/>
        <v>0.97825480623993377</v>
      </c>
      <c r="M82">
        <f t="shared" ca="1" si="18"/>
        <v>0.4815093797115122</v>
      </c>
      <c r="N82" s="7">
        <v>0.77516020799779406</v>
      </c>
      <c r="O82">
        <v>0.68721701519868417</v>
      </c>
      <c r="P82">
        <v>0.81648962832494132</v>
      </c>
      <c r="Q82" s="4">
        <f t="shared" si="16"/>
        <v>-16.872170151986843</v>
      </c>
      <c r="R82" s="4">
        <f t="shared" si="17"/>
        <v>-23.164896283249412</v>
      </c>
    </row>
    <row r="83" spans="1:18" x14ac:dyDescent="0.3">
      <c r="A83" t="s">
        <v>15</v>
      </c>
      <c r="B83">
        <v>7</v>
      </c>
      <c r="C83" t="str">
        <f t="shared" si="13"/>
        <v>F#7</v>
      </c>
      <c r="D83" s="10">
        <f t="shared" si="12"/>
        <v>2959.9553816930784</v>
      </c>
      <c r="E83" s="8">
        <f t="shared" si="19"/>
        <v>2868.128608396134</v>
      </c>
      <c r="F83" s="13">
        <v>90</v>
      </c>
      <c r="G83">
        <v>3</v>
      </c>
      <c r="H83" s="11">
        <f t="shared" si="14"/>
        <v>2868.128608396134</v>
      </c>
      <c r="I83" s="11">
        <f t="shared" si="21"/>
        <v>2837.2947461609378</v>
      </c>
      <c r="J83" s="11">
        <f t="shared" si="10"/>
        <v>2828.9522276493485</v>
      </c>
      <c r="L83" s="3">
        <f t="shared" si="20"/>
        <v>0.96897697382032155</v>
      </c>
      <c r="M83">
        <f t="shared" ca="1" si="18"/>
        <v>0.62947978570613849</v>
      </c>
      <c r="N83" s="7">
        <v>0.4658991273440577</v>
      </c>
      <c r="O83">
        <v>0.87124244934862749</v>
      </c>
      <c r="P83">
        <v>0.88102829543075722</v>
      </c>
      <c r="Q83" s="4">
        <f t="shared" si="16"/>
        <v>-18.712424493486274</v>
      </c>
      <c r="R83" s="4">
        <f t="shared" si="17"/>
        <v>-23.810282954307574</v>
      </c>
    </row>
    <row r="84" spans="1:18" x14ac:dyDescent="0.3">
      <c r="A84" t="s">
        <v>16</v>
      </c>
      <c r="B84">
        <v>7</v>
      </c>
      <c r="C84" t="str">
        <f t="shared" si="13"/>
        <v>G7</v>
      </c>
      <c r="D84" s="10">
        <f t="shared" si="12"/>
        <v>3135.9634878539978</v>
      </c>
      <c r="E84" s="8">
        <f t="shared" si="19"/>
        <v>3062.8807130598752</v>
      </c>
      <c r="F84" s="13">
        <v>91</v>
      </c>
      <c r="G84">
        <v>3</v>
      </c>
      <c r="H84" s="11">
        <f t="shared" si="14"/>
        <v>3062.8807130598752</v>
      </c>
      <c r="I84" s="11">
        <f t="shared" si="21"/>
        <v>3028.6609711502692</v>
      </c>
      <c r="J84" s="11">
        <f t="shared" si="10"/>
        <v>3022.0079907139234</v>
      </c>
      <c r="L84" s="3">
        <f t="shared" si="20"/>
        <v>0.97669527241717524</v>
      </c>
      <c r="M84">
        <f t="shared" ca="1" si="18"/>
        <v>0.98550720852866536</v>
      </c>
      <c r="N84" s="7">
        <v>0.72317574723917522</v>
      </c>
      <c r="O84">
        <v>0.94509070453928978</v>
      </c>
      <c r="P84">
        <v>0.82580467099385457</v>
      </c>
      <c r="Q84" s="4">
        <f t="shared" si="16"/>
        <v>-19.450907045392896</v>
      </c>
      <c r="R84" s="4">
        <f t="shared" si="17"/>
        <v>-23.258046709938547</v>
      </c>
    </row>
    <row r="85" spans="1:18" x14ac:dyDescent="0.3">
      <c r="A85" t="s">
        <v>17</v>
      </c>
      <c r="B85">
        <v>7</v>
      </c>
      <c r="C85" t="str">
        <f t="shared" si="13"/>
        <v>G#7</v>
      </c>
      <c r="D85" s="10">
        <f t="shared" si="12"/>
        <v>3322.4375806395647</v>
      </c>
      <c r="E85" s="8">
        <f t="shared" si="19"/>
        <v>3259.6497334696382</v>
      </c>
      <c r="F85" s="13">
        <v>92</v>
      </c>
      <c r="G85">
        <v>3</v>
      </c>
      <c r="H85" s="11">
        <f t="shared" si="14"/>
        <v>3259.6497334696382</v>
      </c>
      <c r="I85" s="11">
        <f t="shared" si="21"/>
        <v>3223.0250971803321</v>
      </c>
      <c r="J85" s="11">
        <f t="shared" si="10"/>
        <v>3216.8059294617797</v>
      </c>
      <c r="L85" s="3">
        <f t="shared" si="20"/>
        <v>0.98110187305374752</v>
      </c>
      <c r="M85">
        <f t="shared" ca="1" si="18"/>
        <v>0.34199417476071381</v>
      </c>
      <c r="N85" s="7">
        <v>0.87006243512491854</v>
      </c>
      <c r="O85">
        <v>0.95618301542345929</v>
      </c>
      <c r="P85">
        <v>0.79056564794531936</v>
      </c>
      <c r="Q85" s="4">
        <f t="shared" si="16"/>
        <v>-19.561830154234592</v>
      </c>
      <c r="R85" s="4">
        <f t="shared" si="17"/>
        <v>-22.905656479453192</v>
      </c>
    </row>
    <row r="86" spans="1:18" x14ac:dyDescent="0.3">
      <c r="A86" t="s">
        <v>6</v>
      </c>
      <c r="B86">
        <v>7</v>
      </c>
      <c r="C86" t="str">
        <f t="shared" si="13"/>
        <v>A7</v>
      </c>
      <c r="D86" s="10">
        <f t="shared" si="12"/>
        <v>3520.0000000000041</v>
      </c>
      <c r="E86" s="8">
        <f t="shared" si="19"/>
        <v>3454.1176572876311</v>
      </c>
      <c r="F86" s="13">
        <v>93</v>
      </c>
      <c r="G86">
        <v>3</v>
      </c>
      <c r="H86" s="11">
        <f t="shared" si="14"/>
        <v>3454.1176572876311</v>
      </c>
      <c r="I86" s="11">
        <f t="shared" si="21"/>
        <v>3474.1300857136812</v>
      </c>
      <c r="J86" s="11">
        <f t="shared" si="10"/>
        <v>3490.6214577107994</v>
      </c>
      <c r="L86" s="3">
        <f t="shared" si="20"/>
        <v>0.98128342536580315</v>
      </c>
      <c r="M86">
        <f t="shared" ca="1" si="18"/>
        <v>0.92822369448696662</v>
      </c>
      <c r="N86" s="7">
        <v>0.87611417886010456</v>
      </c>
      <c r="O86">
        <v>1.4592835587867725E-4</v>
      </c>
      <c r="P86">
        <v>0.32000225479285205</v>
      </c>
      <c r="Q86" s="4">
        <f t="shared" si="16"/>
        <v>10.001459283558788</v>
      </c>
      <c r="R86" s="4">
        <f t="shared" si="17"/>
        <v>18.200022547928519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9DFE-7F75-4DF4-B32D-CE7E758F39E4}">
  <dimension ref="A1:P87"/>
  <sheetViews>
    <sheetView tabSelected="1" topLeftCell="A64" zoomScale="120" zoomScaleNormal="120" workbookViewId="0">
      <selection activeCell="H75" sqref="H75"/>
    </sheetView>
  </sheetViews>
  <sheetFormatPr defaultColWidth="9.109375" defaultRowHeight="14.4" x14ac:dyDescent="0.3"/>
  <cols>
    <col min="2" max="2" width="9.6640625" bestFit="1" customWidth="1"/>
    <col min="3" max="3" width="10.88671875" bestFit="1" customWidth="1"/>
    <col min="4" max="4" width="11.5546875" style="10" bestFit="1" customWidth="1"/>
    <col min="5" max="5" width="11.5546875" style="21" bestFit="1" customWidth="1"/>
    <col min="6" max="6" width="14.88671875" style="7" bestFit="1" customWidth="1"/>
    <col min="7" max="7" width="9.109375" style="13"/>
    <col min="8" max="8" width="11.5546875" style="7" bestFit="1" customWidth="1"/>
    <col min="10" max="10" width="9.33203125" bestFit="1" customWidth="1"/>
    <col min="11" max="11" width="10" bestFit="1" customWidth="1"/>
    <col min="12" max="13" width="9.33203125" bestFit="1" customWidth="1"/>
    <col min="14" max="14" width="10.33203125" bestFit="1" customWidth="1"/>
    <col min="15" max="16" width="9.33203125" bestFit="1" customWidth="1"/>
  </cols>
  <sheetData>
    <row r="1" spans="1:16" s="14" customFormat="1" x14ac:dyDescent="0.3">
      <c r="A1" s="14" t="s">
        <v>116</v>
      </c>
      <c r="B1" s="14" t="s">
        <v>117</v>
      </c>
      <c r="C1" s="14" t="s">
        <v>118</v>
      </c>
      <c r="D1" s="15" t="s">
        <v>119</v>
      </c>
      <c r="E1" s="19" t="s">
        <v>120</v>
      </c>
      <c r="F1" s="17" t="s">
        <v>130</v>
      </c>
      <c r="G1" s="22" t="s">
        <v>121</v>
      </c>
      <c r="H1" s="17" t="s">
        <v>131</v>
      </c>
      <c r="I1" s="14" t="s">
        <v>122</v>
      </c>
      <c r="J1" s="14" t="s">
        <v>123</v>
      </c>
      <c r="K1" s="14" t="s">
        <v>124</v>
      </c>
      <c r="L1" s="14" t="s">
        <v>125</v>
      </c>
      <c r="M1" s="14" t="s">
        <v>126</v>
      </c>
      <c r="N1" s="14" t="s">
        <v>127</v>
      </c>
      <c r="O1" s="14" t="s">
        <v>128</v>
      </c>
      <c r="P1" s="14" t="s">
        <v>129</v>
      </c>
    </row>
    <row r="2" spans="1:16" x14ac:dyDescent="0.3">
      <c r="A2" t="s">
        <v>31</v>
      </c>
      <c r="B2">
        <f>C2+33</f>
        <v>33</v>
      </c>
      <c r="C2">
        <v>0</v>
      </c>
      <c r="D2" s="16">
        <v>28.461011507094401</v>
      </c>
      <c r="E2" s="20">
        <v>30.293706893920898</v>
      </c>
      <c r="F2" s="18">
        <v>27.5</v>
      </c>
      <c r="H2" s="18">
        <v>30.293706893920898</v>
      </c>
      <c r="I2">
        <v>1</v>
      </c>
      <c r="J2" s="4">
        <f ca="1">RAND()</f>
        <v>0.63266611271146778</v>
      </c>
      <c r="K2" s="4">
        <v>0.84478255039968908</v>
      </c>
      <c r="L2" s="4">
        <v>0.75527393303156953</v>
      </c>
      <c r="M2" s="4">
        <v>8.8203583278534947E-2</v>
      </c>
      <c r="N2" s="4">
        <f>AVERAGE(D2:E2)</f>
        <v>29.377359200507648</v>
      </c>
      <c r="O2" s="4">
        <v>0</v>
      </c>
      <c r="P2" s="4">
        <v>0</v>
      </c>
    </row>
    <row r="3" spans="1:16" x14ac:dyDescent="0.3">
      <c r="A3" t="s">
        <v>32</v>
      </c>
      <c r="B3">
        <f t="shared" ref="B3:B66" si="0">C3+33</f>
        <v>34</v>
      </c>
      <c r="C3">
        <v>1</v>
      </c>
      <c r="D3" s="16">
        <v>33.565436262432399</v>
      </c>
      <c r="E3" s="20">
        <v>33.989334106445298</v>
      </c>
      <c r="F3" s="18">
        <f>F2*POWER(2,1/12)</f>
        <v>29.13523509488062</v>
      </c>
      <c r="H3" s="18">
        <v>33.989334106445298</v>
      </c>
      <c r="I3">
        <v>1</v>
      </c>
      <c r="J3" s="4">
        <f t="shared" ref="J3:J66" ca="1" si="1">RAND()</f>
        <v>0.32622580800093193</v>
      </c>
      <c r="K3" s="4">
        <v>9.5376401867727334E-2</v>
      </c>
      <c r="L3" s="4">
        <v>0.69182351711943824</v>
      </c>
      <c r="M3" s="4">
        <v>0.76345173474239558</v>
      </c>
      <c r="N3" s="4">
        <f t="shared" ref="N3:N66" si="2">AVERAGE(D3:E3)</f>
        <v>33.777385184438849</v>
      </c>
      <c r="O3" s="4">
        <v>0</v>
      </c>
      <c r="P3" s="4">
        <v>0</v>
      </c>
    </row>
    <row r="4" spans="1:16" x14ac:dyDescent="0.3">
      <c r="A4" t="s">
        <v>33</v>
      </c>
      <c r="B4">
        <f t="shared" si="0"/>
        <v>35</v>
      </c>
      <c r="C4">
        <v>2</v>
      </c>
      <c r="D4" s="16">
        <v>32.244483625078601</v>
      </c>
      <c r="E4" s="20">
        <v>30.780091285705499</v>
      </c>
      <c r="F4" s="18">
        <f t="shared" ref="F4:F67" si="3">F3*POWER(2,1/12)</f>
        <v>30.867706328507758</v>
      </c>
      <c r="H4" s="18">
        <v>30.780091285705499</v>
      </c>
      <c r="I4">
        <v>1</v>
      </c>
      <c r="J4" s="4">
        <f t="shared" ca="1" si="1"/>
        <v>0.53144238289241219</v>
      </c>
      <c r="K4" s="4">
        <v>0.92406946114126354</v>
      </c>
      <c r="L4" s="4">
        <v>0.68428257520222102</v>
      </c>
      <c r="M4" s="4">
        <v>0.37134707100122288</v>
      </c>
      <c r="N4" s="4">
        <f t="shared" si="2"/>
        <v>31.512287455392048</v>
      </c>
      <c r="O4" s="4">
        <v>0</v>
      </c>
      <c r="P4" s="4">
        <v>0</v>
      </c>
    </row>
    <row r="5" spans="1:16" x14ac:dyDescent="0.3">
      <c r="A5" t="s">
        <v>34</v>
      </c>
      <c r="B5">
        <f t="shared" si="0"/>
        <v>36</v>
      </c>
      <c r="C5">
        <v>3</v>
      </c>
      <c r="D5" s="16">
        <v>32.639336282805701</v>
      </c>
      <c r="E5" s="20">
        <v>32.534324645996001</v>
      </c>
      <c r="F5" s="18">
        <f t="shared" si="3"/>
        <v>32.703195662574835</v>
      </c>
      <c r="H5" s="18">
        <v>32.534324645996001</v>
      </c>
      <c r="I5">
        <v>1</v>
      </c>
      <c r="J5" s="4">
        <f t="shared" ca="1" si="1"/>
        <v>0.30919186481826855</v>
      </c>
      <c r="K5" s="4">
        <v>0.29549419708826907</v>
      </c>
      <c r="L5" s="4">
        <v>0.61491827448545555</v>
      </c>
      <c r="M5" s="4">
        <v>0.63342963440591915</v>
      </c>
      <c r="N5" s="4">
        <f t="shared" si="2"/>
        <v>32.586830464400848</v>
      </c>
      <c r="O5" s="4">
        <v>0</v>
      </c>
      <c r="P5" s="4">
        <v>0</v>
      </c>
    </row>
    <row r="6" spans="1:16" x14ac:dyDescent="0.3">
      <c r="A6" t="s">
        <v>35</v>
      </c>
      <c r="B6">
        <f t="shared" si="0"/>
        <v>37</v>
      </c>
      <c r="C6">
        <v>4</v>
      </c>
      <c r="D6" s="16">
        <v>32.722701914642201</v>
      </c>
      <c r="E6" s="20">
        <v>32.704025268554602</v>
      </c>
      <c r="F6" s="18">
        <f t="shared" si="3"/>
        <v>34.647828872109017</v>
      </c>
      <c r="H6" s="18">
        <v>32.704025268554602</v>
      </c>
      <c r="I6">
        <v>1</v>
      </c>
      <c r="J6" s="4">
        <f t="shared" ca="1" si="1"/>
        <v>0.37444631834834718</v>
      </c>
      <c r="K6" s="4">
        <v>2.0883994672800776E-2</v>
      </c>
      <c r="L6" s="4">
        <v>0.38166269194612523</v>
      </c>
      <c r="M6" s="4">
        <v>0.4040673205092048</v>
      </c>
      <c r="N6" s="4">
        <f t="shared" si="2"/>
        <v>32.713363591598402</v>
      </c>
      <c r="O6" s="4">
        <v>0</v>
      </c>
      <c r="P6" s="4">
        <v>0</v>
      </c>
    </row>
    <row r="7" spans="1:16" x14ac:dyDescent="0.3">
      <c r="A7" t="s">
        <v>36</v>
      </c>
      <c r="B7">
        <f t="shared" si="0"/>
        <v>38</v>
      </c>
      <c r="C7">
        <v>5</v>
      </c>
      <c r="D7" s="16">
        <v>36.549696774467201</v>
      </c>
      <c r="E7" s="20">
        <v>36.507204055786097</v>
      </c>
      <c r="F7" s="18">
        <f t="shared" si="3"/>
        <v>36.708095989675954</v>
      </c>
      <c r="H7" s="18">
        <v>36.507204055786097</v>
      </c>
      <c r="I7">
        <v>1</v>
      </c>
      <c r="J7" s="4">
        <f t="shared" ca="1" si="1"/>
        <v>2.8934569128065579E-2</v>
      </c>
      <c r="K7" s="4">
        <v>0.67383747473272981</v>
      </c>
      <c r="L7" s="4">
        <v>0.45328756787955593</v>
      </c>
      <c r="M7" s="4">
        <v>0.10733242596151249</v>
      </c>
      <c r="N7" s="4">
        <f t="shared" si="2"/>
        <v>36.528450415126649</v>
      </c>
      <c r="O7" s="4">
        <v>0</v>
      </c>
      <c r="P7" s="4">
        <v>0</v>
      </c>
    </row>
    <row r="8" spans="1:16" x14ac:dyDescent="0.3">
      <c r="A8" t="s">
        <v>37</v>
      </c>
      <c r="B8">
        <f t="shared" si="0"/>
        <v>39</v>
      </c>
      <c r="C8">
        <v>6</v>
      </c>
      <c r="D8" s="16">
        <v>38.820896733501499</v>
      </c>
      <c r="E8" s="20">
        <v>38.646694183349602</v>
      </c>
      <c r="F8" s="18">
        <f t="shared" si="3"/>
        <v>38.890872965260122</v>
      </c>
      <c r="H8" s="18">
        <v>38.646694183349602</v>
      </c>
      <c r="I8">
        <v>1</v>
      </c>
      <c r="J8" s="4">
        <f t="shared" ca="1" si="1"/>
        <v>0.15230863662230376</v>
      </c>
      <c r="K8" s="4">
        <v>0.57851152116751636</v>
      </c>
      <c r="L8" s="4">
        <v>0.78661787548324891</v>
      </c>
      <c r="M8" s="4">
        <v>0.58968430079112044</v>
      </c>
      <c r="N8" s="4">
        <f t="shared" si="2"/>
        <v>38.733795458425547</v>
      </c>
      <c r="O8" s="4">
        <v>0</v>
      </c>
      <c r="P8" s="4">
        <v>0</v>
      </c>
    </row>
    <row r="9" spans="1:16" x14ac:dyDescent="0.3">
      <c r="A9" t="s">
        <v>38</v>
      </c>
      <c r="B9">
        <f t="shared" si="0"/>
        <v>40</v>
      </c>
      <c r="C9">
        <v>7</v>
      </c>
      <c r="D9" s="16">
        <v>40.602588413371201</v>
      </c>
      <c r="E9" s="20">
        <v>40.72261428833</v>
      </c>
      <c r="F9" s="18">
        <f t="shared" si="3"/>
        <v>41.203444614108754</v>
      </c>
      <c r="H9" s="18">
        <v>40.72261428833</v>
      </c>
      <c r="I9">
        <v>1</v>
      </c>
      <c r="J9" s="4">
        <f t="shared" ca="1" si="1"/>
        <v>0.68142522476661538</v>
      </c>
      <c r="K9" s="4">
        <v>0.185115682007294</v>
      </c>
      <c r="L9" s="4">
        <v>0.55845804418748379</v>
      </c>
      <c r="M9" s="4">
        <v>0.95752014607918212</v>
      </c>
      <c r="N9" s="4">
        <f t="shared" si="2"/>
        <v>40.662601350850601</v>
      </c>
      <c r="O9" s="4">
        <v>0</v>
      </c>
      <c r="P9" s="4">
        <v>0</v>
      </c>
    </row>
    <row r="10" spans="1:16" x14ac:dyDescent="0.3">
      <c r="A10" t="s">
        <v>39</v>
      </c>
      <c r="B10">
        <f t="shared" si="0"/>
        <v>41</v>
      </c>
      <c r="C10">
        <v>8</v>
      </c>
      <c r="D10" s="16">
        <v>42.733436198566302</v>
      </c>
      <c r="E10" s="20">
        <v>42.902133941650298</v>
      </c>
      <c r="F10" s="18">
        <f t="shared" si="3"/>
        <v>43.6535289291255</v>
      </c>
      <c r="H10" s="18">
        <v>42.902133941650298</v>
      </c>
      <c r="I10">
        <v>1</v>
      </c>
      <c r="J10" s="4">
        <f t="shared" ca="1" si="1"/>
        <v>0.73838435469069452</v>
      </c>
      <c r="K10" s="4">
        <v>0.34226794633547597</v>
      </c>
      <c r="L10" s="4">
        <v>0.94948885057316612</v>
      </c>
      <c r="M10" s="4">
        <v>0.38778591719194333</v>
      </c>
      <c r="N10" s="4">
        <f t="shared" si="2"/>
        <v>42.8177850701083</v>
      </c>
      <c r="O10" s="4">
        <v>0</v>
      </c>
      <c r="P10" s="4">
        <v>0</v>
      </c>
    </row>
    <row r="11" spans="1:16" x14ac:dyDescent="0.3">
      <c r="A11" t="s">
        <v>40</v>
      </c>
      <c r="B11">
        <f t="shared" si="0"/>
        <v>42</v>
      </c>
      <c r="C11">
        <v>9</v>
      </c>
      <c r="D11" s="16">
        <v>46.002099071534303</v>
      </c>
      <c r="E11" s="20">
        <v>46.025157928466797</v>
      </c>
      <c r="F11" s="18">
        <f t="shared" si="3"/>
        <v>46.249302838954314</v>
      </c>
      <c r="H11" s="18">
        <v>46.025157928466797</v>
      </c>
      <c r="I11">
        <v>1</v>
      </c>
      <c r="J11" s="4">
        <f t="shared" ca="1" si="1"/>
        <v>0.22610621385698826</v>
      </c>
      <c r="K11" s="4">
        <v>0.38759838177620687</v>
      </c>
      <c r="L11" s="4">
        <v>0.49328684516645971</v>
      </c>
      <c r="M11" s="4">
        <v>0.18171434178226098</v>
      </c>
      <c r="N11" s="4">
        <f t="shared" si="2"/>
        <v>46.01362850000055</v>
      </c>
      <c r="O11" s="4">
        <v>0</v>
      </c>
      <c r="P11" s="4">
        <v>0</v>
      </c>
    </row>
    <row r="12" spans="1:16" x14ac:dyDescent="0.3">
      <c r="A12" t="s">
        <v>41</v>
      </c>
      <c r="B12">
        <f t="shared" si="0"/>
        <v>43</v>
      </c>
      <c r="C12">
        <v>10</v>
      </c>
      <c r="D12" s="16">
        <v>46.385959894950297</v>
      </c>
      <c r="E12" s="20">
        <v>46.516143798828097</v>
      </c>
      <c r="F12" s="18">
        <f t="shared" si="3"/>
        <v>48.99942949771868</v>
      </c>
      <c r="H12" s="18">
        <v>46.516143798828097</v>
      </c>
      <c r="I12">
        <v>1</v>
      </c>
      <c r="J12" s="4">
        <f t="shared" ca="1" si="1"/>
        <v>0.56520836855616918</v>
      </c>
      <c r="K12" s="4">
        <v>0.66316156876309551</v>
      </c>
      <c r="L12" s="4">
        <v>0.30985379615154351</v>
      </c>
      <c r="M12" s="4">
        <v>0.27797869363388927</v>
      </c>
      <c r="N12" s="4">
        <f t="shared" si="2"/>
        <v>46.4510518468892</v>
      </c>
      <c r="O12" s="4">
        <v>0</v>
      </c>
      <c r="P12" s="4">
        <v>0</v>
      </c>
    </row>
    <row r="13" spans="1:16" x14ac:dyDescent="0.3">
      <c r="A13" t="s">
        <v>42</v>
      </c>
      <c r="B13">
        <f t="shared" si="0"/>
        <v>44</v>
      </c>
      <c r="C13">
        <v>11</v>
      </c>
      <c r="D13" s="16">
        <v>51.683609269622004</v>
      </c>
      <c r="E13" s="20">
        <v>51.6283149719238</v>
      </c>
      <c r="F13" s="18">
        <f t="shared" si="3"/>
        <v>51.913087197493162</v>
      </c>
      <c r="H13" s="18">
        <v>51.6283149719238</v>
      </c>
      <c r="I13">
        <v>1</v>
      </c>
      <c r="J13" s="4">
        <f t="shared" ca="1" si="1"/>
        <v>0.46103881104323285</v>
      </c>
      <c r="K13" s="4">
        <v>0.45822169274200597</v>
      </c>
      <c r="L13" s="4">
        <v>4.0934639698014252E-2</v>
      </c>
      <c r="M13" s="4">
        <v>0.84426398789431145</v>
      </c>
      <c r="N13" s="4">
        <f t="shared" si="2"/>
        <v>51.655962120772898</v>
      </c>
      <c r="O13" s="4">
        <v>0</v>
      </c>
      <c r="P13" s="4">
        <v>0</v>
      </c>
    </row>
    <row r="14" spans="1:16" x14ac:dyDescent="0.3">
      <c r="A14" t="s">
        <v>43</v>
      </c>
      <c r="B14">
        <f t="shared" si="0"/>
        <v>45</v>
      </c>
      <c r="C14">
        <v>12</v>
      </c>
      <c r="D14" s="16">
        <v>54.563179799499601</v>
      </c>
      <c r="E14" s="20">
        <v>54.683086395263601</v>
      </c>
      <c r="F14" s="18">
        <f t="shared" si="3"/>
        <v>55.000000000000021</v>
      </c>
      <c r="H14" s="18">
        <v>54.683086395263601</v>
      </c>
      <c r="I14">
        <v>1</v>
      </c>
      <c r="J14" s="4">
        <f t="shared" ca="1" si="1"/>
        <v>0.53025999190857609</v>
      </c>
      <c r="K14" s="4">
        <v>0.74645793978350128</v>
      </c>
      <c r="L14" s="4">
        <v>0.61505523732587353</v>
      </c>
      <c r="M14" s="4">
        <v>0.74308561908697668</v>
      </c>
      <c r="N14" s="4">
        <f t="shared" si="2"/>
        <v>54.623133097381597</v>
      </c>
      <c r="O14" s="4">
        <v>0</v>
      </c>
      <c r="P14" s="4">
        <v>0</v>
      </c>
    </row>
    <row r="15" spans="1:16" x14ac:dyDescent="0.3">
      <c r="A15" t="s">
        <v>44</v>
      </c>
      <c r="B15">
        <f t="shared" si="0"/>
        <v>46</v>
      </c>
      <c r="C15">
        <v>13</v>
      </c>
      <c r="D15" s="16">
        <v>56.606248652163401</v>
      </c>
      <c r="E15" s="20">
        <v>56.612411499023402</v>
      </c>
      <c r="F15" s="18">
        <f t="shared" si="3"/>
        <v>58.270470189761262</v>
      </c>
      <c r="H15" s="18">
        <v>56.612411499023402</v>
      </c>
      <c r="I15">
        <v>2</v>
      </c>
      <c r="J15" s="4">
        <f t="shared" ca="1" si="1"/>
        <v>0.7063438247945556</v>
      </c>
      <c r="K15" s="4">
        <v>0.84827896041315631</v>
      </c>
      <c r="L15" s="4">
        <v>0.65319096929423315</v>
      </c>
      <c r="M15" s="4">
        <v>0.92030125887305625</v>
      </c>
      <c r="N15" s="4">
        <f t="shared" si="2"/>
        <v>56.609330075593405</v>
      </c>
      <c r="O15" s="4"/>
      <c r="P15" s="4">
        <v>0</v>
      </c>
    </row>
    <row r="16" spans="1:16" x14ac:dyDescent="0.3">
      <c r="A16" t="s">
        <v>45</v>
      </c>
      <c r="B16">
        <f t="shared" si="0"/>
        <v>47</v>
      </c>
      <c r="C16">
        <v>14</v>
      </c>
      <c r="D16" s="16">
        <v>60.461371309780297</v>
      </c>
      <c r="E16" s="20">
        <v>60.653106689453097</v>
      </c>
      <c r="F16" s="18">
        <f t="shared" si="3"/>
        <v>61.735412657015537</v>
      </c>
      <c r="H16" s="18">
        <v>60.653106689453097</v>
      </c>
      <c r="I16">
        <v>2</v>
      </c>
      <c r="J16" s="4">
        <f t="shared" ca="1" si="1"/>
        <v>0.68277777882186086</v>
      </c>
      <c r="K16" s="4">
        <v>0.55153199336734848</v>
      </c>
      <c r="L16" s="4">
        <v>0.18054622797229725</v>
      </c>
      <c r="M16" s="4">
        <v>0.98483524560105251</v>
      </c>
      <c r="N16" s="4">
        <f t="shared" si="2"/>
        <v>60.5572389996167</v>
      </c>
      <c r="O16" s="4"/>
      <c r="P16" s="4">
        <v>0</v>
      </c>
    </row>
    <row r="17" spans="1:16" x14ac:dyDescent="0.3">
      <c r="A17" t="s">
        <v>46</v>
      </c>
      <c r="B17">
        <f t="shared" si="0"/>
        <v>48</v>
      </c>
      <c r="C17">
        <v>15</v>
      </c>
      <c r="D17" s="16">
        <v>63.6229375863538</v>
      </c>
      <c r="E17" s="20">
        <v>63.9025268554687</v>
      </c>
      <c r="F17" s="18">
        <f t="shared" si="3"/>
        <v>65.406391325149684</v>
      </c>
      <c r="H17" s="18">
        <v>63.9025268554687</v>
      </c>
      <c r="I17">
        <v>2</v>
      </c>
      <c r="J17" s="4">
        <f t="shared" ca="1" si="1"/>
        <v>0.28791142561580541</v>
      </c>
      <c r="K17" s="4">
        <v>0.63483187984307188</v>
      </c>
      <c r="L17" s="4">
        <v>0.40907012822346134</v>
      </c>
      <c r="M17" s="4">
        <v>0.96398805136580723</v>
      </c>
      <c r="N17" s="4">
        <f t="shared" si="2"/>
        <v>63.762732220911246</v>
      </c>
      <c r="O17" s="4"/>
      <c r="P17" s="4">
        <v>0</v>
      </c>
    </row>
    <row r="18" spans="1:16" x14ac:dyDescent="0.3">
      <c r="A18" t="s">
        <v>47</v>
      </c>
      <c r="B18">
        <f t="shared" si="0"/>
        <v>49</v>
      </c>
      <c r="C18">
        <v>16</v>
      </c>
      <c r="D18" s="16">
        <v>67.488738204206001</v>
      </c>
      <c r="E18" s="20">
        <v>67.691818237304602</v>
      </c>
      <c r="F18" s="18">
        <f t="shared" si="3"/>
        <v>69.295657744218047</v>
      </c>
      <c r="H18" s="18">
        <v>67.691818237304602</v>
      </c>
      <c r="I18">
        <v>2</v>
      </c>
      <c r="J18" s="4">
        <f t="shared" ca="1" si="1"/>
        <v>0.93943583174586431</v>
      </c>
      <c r="K18" s="4">
        <v>0.14490236805953904</v>
      </c>
      <c r="L18" s="4">
        <v>0.78171284347943815</v>
      </c>
      <c r="M18" s="4">
        <v>0.52617751940293145</v>
      </c>
      <c r="N18" s="4">
        <f t="shared" si="2"/>
        <v>67.590278220755295</v>
      </c>
      <c r="O18" s="4"/>
      <c r="P18" s="4">
        <v>0</v>
      </c>
    </row>
    <row r="19" spans="1:16" x14ac:dyDescent="0.3">
      <c r="A19" t="s">
        <v>48</v>
      </c>
      <c r="B19">
        <f t="shared" si="0"/>
        <v>50</v>
      </c>
      <c r="C19">
        <v>17</v>
      </c>
      <c r="D19" s="16">
        <v>71.215557788568006</v>
      </c>
      <c r="E19" s="20">
        <v>71.329765319824205</v>
      </c>
      <c r="F19" s="18">
        <f t="shared" si="3"/>
        <v>73.416191979351922</v>
      </c>
      <c r="H19" s="18">
        <v>71.329765319824205</v>
      </c>
      <c r="I19">
        <v>2</v>
      </c>
      <c r="J19" s="4">
        <f t="shared" ca="1" si="1"/>
        <v>0.14303194467448477</v>
      </c>
      <c r="K19" s="4">
        <v>0.356972934768229</v>
      </c>
      <c r="L19" s="4">
        <v>0.71989352940748175</v>
      </c>
      <c r="M19" s="4">
        <v>0.67699057029620791</v>
      </c>
      <c r="N19" s="4">
        <f t="shared" si="2"/>
        <v>71.272661554196105</v>
      </c>
      <c r="O19" s="4"/>
      <c r="P19" s="4">
        <v>0</v>
      </c>
    </row>
    <row r="20" spans="1:16" x14ac:dyDescent="0.3">
      <c r="A20" t="s">
        <v>49</v>
      </c>
      <c r="B20">
        <f t="shared" si="0"/>
        <v>51</v>
      </c>
      <c r="C20">
        <v>18</v>
      </c>
      <c r="D20" s="16">
        <v>75.491572389787805</v>
      </c>
      <c r="E20" s="20">
        <v>75.606437683105398</v>
      </c>
      <c r="F20" s="18">
        <f t="shared" si="3"/>
        <v>77.781745930520259</v>
      </c>
      <c r="H20" s="18">
        <v>75.606437683105398</v>
      </c>
      <c r="I20">
        <v>2</v>
      </c>
      <c r="J20" s="4">
        <f t="shared" ca="1" si="1"/>
        <v>0.15378110663341538</v>
      </c>
      <c r="K20" s="4">
        <v>0.78478193902239712</v>
      </c>
      <c r="L20" s="4">
        <v>0.71722964512848408</v>
      </c>
      <c r="M20" s="4">
        <v>0.39521071305427224</v>
      </c>
      <c r="N20" s="4">
        <f t="shared" si="2"/>
        <v>75.549005036446601</v>
      </c>
      <c r="O20" s="4"/>
      <c r="P20" s="4">
        <v>0</v>
      </c>
    </row>
    <row r="21" spans="1:16" x14ac:dyDescent="0.3">
      <c r="A21" t="s">
        <v>50</v>
      </c>
      <c r="B21">
        <f t="shared" si="0"/>
        <v>52</v>
      </c>
      <c r="C21">
        <v>19</v>
      </c>
      <c r="D21" s="16">
        <v>80.340578898642804</v>
      </c>
      <c r="E21" s="20">
        <v>80.525413513183594</v>
      </c>
      <c r="F21" s="18">
        <f t="shared" si="3"/>
        <v>82.406889228217523</v>
      </c>
      <c r="H21" s="18">
        <v>80.525413513183594</v>
      </c>
      <c r="I21">
        <v>2</v>
      </c>
      <c r="J21" s="4">
        <f t="shared" ca="1" si="1"/>
        <v>0.5318584315307302</v>
      </c>
      <c r="K21" s="4">
        <v>0.11332271031710606</v>
      </c>
      <c r="L21" s="4">
        <v>0.19612889882211459</v>
      </c>
      <c r="M21" s="4">
        <v>0.96714802485671714</v>
      </c>
      <c r="N21" s="4">
        <f t="shared" si="2"/>
        <v>80.432996205913199</v>
      </c>
      <c r="O21" s="4"/>
      <c r="P21" s="4">
        <v>0</v>
      </c>
    </row>
    <row r="22" spans="1:16" x14ac:dyDescent="0.3">
      <c r="A22" t="s">
        <v>51</v>
      </c>
      <c r="B22">
        <f t="shared" si="0"/>
        <v>53</v>
      </c>
      <c r="C22">
        <v>20</v>
      </c>
      <c r="D22" s="16">
        <v>84.786770670159299</v>
      </c>
      <c r="E22" s="20">
        <v>84.822731018066406</v>
      </c>
      <c r="F22" s="18">
        <f t="shared" si="3"/>
        <v>87.307057858251014</v>
      </c>
      <c r="H22" s="18">
        <v>84.822731018066406</v>
      </c>
      <c r="I22">
        <v>2</v>
      </c>
      <c r="J22" s="4">
        <f t="shared" ca="1" si="1"/>
        <v>0.36785685098661647</v>
      </c>
      <c r="K22" s="4">
        <v>0.31221491944713942</v>
      </c>
      <c r="L22" s="4">
        <v>0.27449369339633367</v>
      </c>
      <c r="M22" s="4">
        <v>0.93699941883948012</v>
      </c>
      <c r="N22" s="4">
        <f t="shared" si="2"/>
        <v>84.804750844112846</v>
      </c>
      <c r="O22" s="4"/>
      <c r="P22" s="4">
        <v>0</v>
      </c>
    </row>
    <row r="23" spans="1:16" x14ac:dyDescent="0.3">
      <c r="A23" t="s">
        <v>52</v>
      </c>
      <c r="B23">
        <f t="shared" si="0"/>
        <v>54</v>
      </c>
      <c r="C23">
        <v>21</v>
      </c>
      <c r="D23" s="16">
        <v>90.159371739066501</v>
      </c>
      <c r="E23" s="20">
        <v>90.379859924316406</v>
      </c>
      <c r="F23" s="18">
        <f t="shared" si="3"/>
        <v>92.498605677908643</v>
      </c>
      <c r="H23" s="18">
        <v>90.379859924316406</v>
      </c>
      <c r="I23">
        <v>2</v>
      </c>
      <c r="J23" s="4">
        <f t="shared" ca="1" si="1"/>
        <v>0.17246478236335061</v>
      </c>
      <c r="K23" s="4">
        <v>0.42294804619024018</v>
      </c>
      <c r="L23" s="4">
        <v>0.98300718840165668</v>
      </c>
      <c r="M23" s="4">
        <v>0.1196353416552296</v>
      </c>
      <c r="N23" s="4">
        <f t="shared" si="2"/>
        <v>90.269615831691453</v>
      </c>
      <c r="O23" s="4"/>
      <c r="P23" s="4">
        <v>0</v>
      </c>
    </row>
    <row r="24" spans="1:16" x14ac:dyDescent="0.3">
      <c r="A24" t="s">
        <v>53</v>
      </c>
      <c r="B24">
        <f t="shared" si="0"/>
        <v>55</v>
      </c>
      <c r="C24">
        <v>22</v>
      </c>
      <c r="D24" s="16">
        <v>95.548023317083903</v>
      </c>
      <c r="E24" s="20">
        <v>95.760177612304602</v>
      </c>
      <c r="F24" s="18">
        <f t="shared" si="3"/>
        <v>97.998858995437374</v>
      </c>
      <c r="H24" s="18">
        <v>95.760177612304602</v>
      </c>
      <c r="I24">
        <v>2</v>
      </c>
      <c r="J24" s="4">
        <f t="shared" ca="1" si="1"/>
        <v>0.81267028124367491</v>
      </c>
      <c r="K24" s="4">
        <v>0.22032984385181897</v>
      </c>
      <c r="L24" s="4">
        <v>0.38004584152372811</v>
      </c>
      <c r="M24" s="4">
        <v>0.5974949006931769</v>
      </c>
      <c r="N24" s="4">
        <f t="shared" si="2"/>
        <v>95.654100464694253</v>
      </c>
      <c r="O24" s="4"/>
      <c r="P24" s="4">
        <v>0</v>
      </c>
    </row>
    <row r="25" spans="1:16" x14ac:dyDescent="0.3">
      <c r="A25" t="s">
        <v>54</v>
      </c>
      <c r="B25">
        <f t="shared" si="0"/>
        <v>56</v>
      </c>
      <c r="C25">
        <v>23</v>
      </c>
      <c r="D25" s="16">
        <v>101.323159169224</v>
      </c>
      <c r="E25" s="20">
        <v>101.463134765625</v>
      </c>
      <c r="F25" s="18">
        <f t="shared" si="3"/>
        <v>103.82617439498634</v>
      </c>
      <c r="H25" s="18">
        <v>101.463134765625</v>
      </c>
      <c r="I25">
        <v>2</v>
      </c>
      <c r="J25" s="4">
        <f t="shared" ca="1" si="1"/>
        <v>0.35510911143677082</v>
      </c>
      <c r="K25" s="4">
        <v>0.55298365228987389</v>
      </c>
      <c r="L25" s="4">
        <v>0.9389436280988408</v>
      </c>
      <c r="M25" s="4">
        <v>0.21752296874472021</v>
      </c>
      <c r="N25" s="4">
        <f t="shared" si="2"/>
        <v>101.3931469674245</v>
      </c>
      <c r="O25" s="4"/>
      <c r="P25" s="4">
        <v>0</v>
      </c>
    </row>
    <row r="26" spans="1:16" s="24" customFormat="1" x14ac:dyDescent="0.3">
      <c r="A26" s="24" t="s">
        <v>55</v>
      </c>
      <c r="B26" s="24">
        <f t="shared" si="0"/>
        <v>57</v>
      </c>
      <c r="C26" s="24">
        <v>24</v>
      </c>
      <c r="D26" s="25">
        <v>107.349543359595</v>
      </c>
      <c r="E26" s="26">
        <v>107.48963928222599</v>
      </c>
      <c r="F26" s="27">
        <f t="shared" si="3"/>
        <v>110.00000000000006</v>
      </c>
      <c r="G26" s="28"/>
      <c r="H26" s="27">
        <v>107.48963928222599</v>
      </c>
      <c r="I26" s="24">
        <v>2</v>
      </c>
      <c r="J26" s="29">
        <f t="shared" ca="1" si="1"/>
        <v>0.73064805097788565</v>
      </c>
      <c r="K26" s="29">
        <v>0.57209760993574277</v>
      </c>
      <c r="L26" s="29">
        <v>0.62174546536348818</v>
      </c>
      <c r="M26" s="29">
        <v>7.7675255775897067E-2</v>
      </c>
      <c r="N26" s="29">
        <f t="shared" si="2"/>
        <v>107.4195913209105</v>
      </c>
      <c r="O26" s="29"/>
      <c r="P26" s="29">
        <v>0</v>
      </c>
    </row>
    <row r="27" spans="1:16" x14ac:dyDescent="0.3">
      <c r="A27" t="s">
        <v>56</v>
      </c>
      <c r="B27">
        <f t="shared" si="0"/>
        <v>58</v>
      </c>
      <c r="C27">
        <v>25</v>
      </c>
      <c r="D27" s="16">
        <v>113.66519675779401</v>
      </c>
      <c r="E27" s="20">
        <v>113.87899017333901</v>
      </c>
      <c r="F27" s="18">
        <f t="shared" si="3"/>
        <v>116.54094037952254</v>
      </c>
      <c r="H27" s="18">
        <v>113.87899017333901</v>
      </c>
      <c r="I27">
        <v>2</v>
      </c>
      <c r="J27" s="4">
        <f t="shared" ca="1" si="1"/>
        <v>0.47753475266131196</v>
      </c>
      <c r="K27" s="4">
        <v>9.380053797811061E-2</v>
      </c>
      <c r="L27" s="4">
        <v>0.87071326348339484</v>
      </c>
      <c r="M27" s="4">
        <v>0.30329332743682336</v>
      </c>
      <c r="N27" s="4">
        <f t="shared" si="2"/>
        <v>113.77209346556651</v>
      </c>
      <c r="O27" s="4"/>
      <c r="P27" s="4">
        <v>0</v>
      </c>
    </row>
    <row r="28" spans="1:16" x14ac:dyDescent="0.3">
      <c r="A28" t="s">
        <v>57</v>
      </c>
      <c r="B28">
        <f t="shared" si="0"/>
        <v>59</v>
      </c>
      <c r="C28">
        <v>26</v>
      </c>
      <c r="D28" s="16">
        <v>120.527151675685</v>
      </c>
      <c r="E28" s="20">
        <v>120.647888183593</v>
      </c>
      <c r="F28" s="18">
        <f t="shared" si="3"/>
        <v>123.4708253140311</v>
      </c>
      <c r="H28" s="18">
        <v>120.647888183593</v>
      </c>
      <c r="I28">
        <v>2</v>
      </c>
      <c r="J28" s="4">
        <f t="shared" ca="1" si="1"/>
        <v>0.98660940023715282</v>
      </c>
      <c r="K28" s="4">
        <v>0.48397609718548762</v>
      </c>
      <c r="L28" s="4">
        <v>0.4614708727395116</v>
      </c>
      <c r="M28" s="4">
        <v>0.26657276614776404</v>
      </c>
      <c r="N28" s="4">
        <f t="shared" si="2"/>
        <v>120.587519929639</v>
      </c>
      <c r="O28" s="4"/>
      <c r="P28" s="4">
        <v>0</v>
      </c>
    </row>
    <row r="29" spans="1:16" x14ac:dyDescent="0.3">
      <c r="A29" t="s">
        <v>58</v>
      </c>
      <c r="B29">
        <f t="shared" si="0"/>
        <v>60</v>
      </c>
      <c r="C29">
        <v>27</v>
      </c>
      <c r="D29" s="16">
        <v>126.90698009926101</v>
      </c>
      <c r="E29" s="20">
        <v>127.106117248535</v>
      </c>
      <c r="F29" s="18">
        <f t="shared" si="3"/>
        <v>130.8127826502994</v>
      </c>
      <c r="H29" s="18">
        <v>127.106117248535</v>
      </c>
      <c r="I29">
        <v>2</v>
      </c>
      <c r="J29" s="4">
        <f t="shared" ca="1" si="1"/>
        <v>0.84566892813523242</v>
      </c>
      <c r="K29" s="4">
        <v>0.45660717271868545</v>
      </c>
      <c r="L29" s="4">
        <v>0.78276332961838468</v>
      </c>
      <c r="M29" s="4">
        <v>0.14701113579377401</v>
      </c>
      <c r="N29" s="4">
        <f t="shared" si="2"/>
        <v>127.00654867389801</v>
      </c>
      <c r="O29" s="4"/>
      <c r="P29" s="4">
        <v>0</v>
      </c>
    </row>
    <row r="30" spans="1:16" x14ac:dyDescent="0.3">
      <c r="A30" t="s">
        <v>59</v>
      </c>
      <c r="B30">
        <f t="shared" si="0"/>
        <v>61</v>
      </c>
      <c r="C30">
        <v>28</v>
      </c>
      <c r="D30" s="16">
        <v>135.56228672339299</v>
      </c>
      <c r="E30" s="20">
        <v>136.19244384765599</v>
      </c>
      <c r="F30" s="18">
        <f t="shared" si="3"/>
        <v>138.59131548843615</v>
      </c>
      <c r="H30" s="18">
        <v>136.19244384765599</v>
      </c>
      <c r="I30">
        <v>2</v>
      </c>
      <c r="J30" s="4">
        <f t="shared" ca="1" si="1"/>
        <v>0.28979193788601032</v>
      </c>
      <c r="K30" s="4">
        <v>0.15079539744814707</v>
      </c>
      <c r="L30" s="4">
        <v>0.74415196980821985</v>
      </c>
      <c r="M30" s="4">
        <v>0.56832127965096613</v>
      </c>
      <c r="N30" s="4">
        <f t="shared" si="2"/>
        <v>135.87736528552449</v>
      </c>
      <c r="O30" s="4"/>
      <c r="P30" s="4">
        <v>0</v>
      </c>
    </row>
    <row r="31" spans="1:16" x14ac:dyDescent="0.3">
      <c r="A31" t="s">
        <v>60</v>
      </c>
      <c r="B31">
        <f t="shared" si="0"/>
        <v>62</v>
      </c>
      <c r="C31">
        <v>29</v>
      </c>
      <c r="D31" s="16">
        <v>143.24543883900799</v>
      </c>
      <c r="E31" s="20">
        <v>143.49411773681601</v>
      </c>
      <c r="F31" s="18">
        <f t="shared" si="3"/>
        <v>146.8323839587039</v>
      </c>
      <c r="H31" s="18">
        <v>143.49411773681601</v>
      </c>
      <c r="I31">
        <v>2</v>
      </c>
      <c r="J31" s="4">
        <f t="shared" ca="1" si="1"/>
        <v>0.78919710676791366</v>
      </c>
      <c r="K31" s="4">
        <v>0.79822134755866092</v>
      </c>
      <c r="L31" s="4">
        <v>0.14893139235208086</v>
      </c>
      <c r="M31" s="4">
        <v>0.66949852784264774</v>
      </c>
      <c r="N31" s="4">
        <f t="shared" si="2"/>
        <v>143.369778287912</v>
      </c>
      <c r="O31" s="4"/>
      <c r="P31" s="4">
        <v>0</v>
      </c>
    </row>
    <row r="32" spans="1:16" x14ac:dyDescent="0.3">
      <c r="A32" t="s">
        <v>61</v>
      </c>
      <c r="B32">
        <f t="shared" si="0"/>
        <v>63</v>
      </c>
      <c r="C32">
        <v>30</v>
      </c>
      <c r="D32" s="16">
        <v>148.90559267010099</v>
      </c>
      <c r="E32" s="20">
        <v>149.35060119628901</v>
      </c>
      <c r="F32" s="18">
        <f t="shared" si="3"/>
        <v>155.5634918610406</v>
      </c>
      <c r="H32" s="18">
        <v>149.35060119628901</v>
      </c>
      <c r="I32">
        <v>3</v>
      </c>
      <c r="J32" s="4">
        <f t="shared" ca="1" si="1"/>
        <v>6.6317632201830179E-2</v>
      </c>
      <c r="K32" s="4">
        <v>0.27855230801069675</v>
      </c>
      <c r="L32" s="4">
        <v>4.2255751506824479E-3</v>
      </c>
      <c r="M32" s="4">
        <v>0.39349713166630329</v>
      </c>
      <c r="N32" s="4">
        <f t="shared" si="2"/>
        <v>149.128096933195</v>
      </c>
      <c r="O32" s="4"/>
      <c r="P32" s="4"/>
    </row>
    <row r="33" spans="1:16" x14ac:dyDescent="0.3">
      <c r="A33" t="s">
        <v>62</v>
      </c>
      <c r="B33">
        <f t="shared" si="0"/>
        <v>64</v>
      </c>
      <c r="C33">
        <v>31</v>
      </c>
      <c r="D33" s="16">
        <v>159.043052892931</v>
      </c>
      <c r="E33" s="20">
        <v>159.629768371582</v>
      </c>
      <c r="F33" s="18">
        <f t="shared" si="3"/>
        <v>164.81377845643513</v>
      </c>
      <c r="H33" s="18">
        <v>159.629768371582</v>
      </c>
      <c r="I33">
        <v>3</v>
      </c>
      <c r="J33" s="4">
        <f t="shared" ca="1" si="1"/>
        <v>0.2388800271978242</v>
      </c>
      <c r="K33" s="4">
        <v>0.57856616352363965</v>
      </c>
      <c r="L33" s="4">
        <v>0.94386652803331372</v>
      </c>
      <c r="M33" s="4">
        <v>0.52792885315524818</v>
      </c>
      <c r="N33" s="4">
        <f t="shared" si="2"/>
        <v>159.3364106322565</v>
      </c>
      <c r="O33" s="4"/>
      <c r="P33" s="4"/>
    </row>
    <row r="34" spans="1:16" x14ac:dyDescent="0.3">
      <c r="A34" t="s">
        <v>63</v>
      </c>
      <c r="B34">
        <f t="shared" si="0"/>
        <v>65</v>
      </c>
      <c r="C34">
        <v>32</v>
      </c>
      <c r="D34" s="16">
        <v>168.78898568616299</v>
      </c>
      <c r="E34" s="20">
        <v>169.64434814453099</v>
      </c>
      <c r="F34" s="18">
        <f t="shared" si="3"/>
        <v>174.61411571650211</v>
      </c>
      <c r="H34" s="18">
        <v>169.64434814453099</v>
      </c>
      <c r="I34">
        <v>3</v>
      </c>
      <c r="J34" s="4">
        <f t="shared" ca="1" si="1"/>
        <v>2.4040024571141294E-2</v>
      </c>
      <c r="K34" s="4">
        <v>0.18885380642756577</v>
      </c>
      <c r="L34" s="4">
        <v>0.79178687595923181</v>
      </c>
      <c r="M34" s="4">
        <v>0.63095303254389223</v>
      </c>
      <c r="N34" s="4">
        <f t="shared" si="2"/>
        <v>169.21666691534699</v>
      </c>
      <c r="O34" s="4"/>
      <c r="P34" s="4"/>
    </row>
    <row r="35" spans="1:16" x14ac:dyDescent="0.3">
      <c r="A35" t="s">
        <v>64</v>
      </c>
      <c r="B35">
        <f t="shared" si="0"/>
        <v>66</v>
      </c>
      <c r="C35">
        <v>33</v>
      </c>
      <c r="D35" s="16">
        <v>177.27514101741301</v>
      </c>
      <c r="E35" s="20">
        <v>177.67329406738199</v>
      </c>
      <c r="F35" s="18">
        <f t="shared" si="3"/>
        <v>184.9972113558174</v>
      </c>
      <c r="H35" s="18">
        <v>177.67329406738199</v>
      </c>
      <c r="I35">
        <v>3</v>
      </c>
      <c r="J35" s="4">
        <f t="shared" ca="1" si="1"/>
        <v>0.51576679406274828</v>
      </c>
      <c r="K35" s="4">
        <v>0.72172968661672821</v>
      </c>
      <c r="L35" s="4">
        <v>8.8864605883917092E-2</v>
      </c>
      <c r="M35" s="4">
        <v>0.84603784843514052</v>
      </c>
      <c r="N35" s="4">
        <f t="shared" si="2"/>
        <v>177.4742175423975</v>
      </c>
      <c r="O35" s="4"/>
      <c r="P35" s="4"/>
    </row>
    <row r="36" spans="1:16" x14ac:dyDescent="0.3">
      <c r="A36" t="s">
        <v>65</v>
      </c>
      <c r="B36">
        <f t="shared" si="0"/>
        <v>67</v>
      </c>
      <c r="C36">
        <v>34</v>
      </c>
      <c r="D36" s="16">
        <v>189.48293055454101</v>
      </c>
      <c r="E36" s="20">
        <v>190.40190124511699</v>
      </c>
      <c r="F36" s="18">
        <f t="shared" si="3"/>
        <v>195.99771799087486</v>
      </c>
      <c r="H36" s="18">
        <v>190.40190124511699</v>
      </c>
      <c r="I36">
        <v>3</v>
      </c>
      <c r="J36" s="4">
        <f t="shared" ca="1" si="1"/>
        <v>0.27081272033110515</v>
      </c>
      <c r="K36" s="4">
        <v>0.11434494047821941</v>
      </c>
      <c r="L36" s="4">
        <v>0.42242237765327562</v>
      </c>
      <c r="M36" s="4">
        <v>0.57310162781097884</v>
      </c>
      <c r="N36" s="4">
        <f t="shared" si="2"/>
        <v>189.942415899829</v>
      </c>
      <c r="O36" s="4"/>
      <c r="P36" s="4"/>
    </row>
    <row r="37" spans="1:16" x14ac:dyDescent="0.3">
      <c r="A37" t="s">
        <v>66</v>
      </c>
      <c r="B37">
        <f t="shared" si="0"/>
        <v>68</v>
      </c>
      <c r="C37">
        <v>35</v>
      </c>
      <c r="D37" s="16">
        <v>199.72276422568501</v>
      </c>
      <c r="E37" s="20">
        <v>200.577224731445</v>
      </c>
      <c r="F37" s="18">
        <f t="shared" si="3"/>
        <v>207.65234878997279</v>
      </c>
      <c r="H37" s="18">
        <v>200.577224731445</v>
      </c>
      <c r="I37">
        <v>3</v>
      </c>
      <c r="J37" s="4">
        <f t="shared" ca="1" si="1"/>
        <v>0.5194220307550057</v>
      </c>
      <c r="K37" s="4">
        <v>0.41117990887062206</v>
      </c>
      <c r="L37" s="4">
        <v>0.87119355519959329</v>
      </c>
      <c r="M37" s="4">
        <v>0.9232487624660114</v>
      </c>
      <c r="N37" s="4">
        <f t="shared" si="2"/>
        <v>200.14999447856502</v>
      </c>
      <c r="O37" s="4"/>
      <c r="P37" s="4"/>
    </row>
    <row r="38" spans="1:16" s="24" customFormat="1" x14ac:dyDescent="0.3">
      <c r="A38" s="24" t="s">
        <v>67</v>
      </c>
      <c r="B38" s="24">
        <f t="shared" si="0"/>
        <v>69</v>
      </c>
      <c r="C38" s="24">
        <v>36</v>
      </c>
      <c r="D38" s="25">
        <v>212.61350654614299</v>
      </c>
      <c r="E38" s="26">
        <v>213.73532104492099</v>
      </c>
      <c r="F38" s="27">
        <f t="shared" si="3"/>
        <v>220.00000000000026</v>
      </c>
      <c r="G38" s="28"/>
      <c r="H38" s="27">
        <v>213.73532104492099</v>
      </c>
      <c r="I38" s="24">
        <v>3</v>
      </c>
      <c r="J38" s="29">
        <f t="shared" ca="1" si="1"/>
        <v>0.30878992072268829</v>
      </c>
      <c r="K38" s="29">
        <v>0.11554223892688753</v>
      </c>
      <c r="L38" s="29">
        <v>0.16933568304002777</v>
      </c>
      <c r="M38" s="29">
        <v>0.47645312642165361</v>
      </c>
      <c r="N38" s="29">
        <f t="shared" si="2"/>
        <v>213.17441379553199</v>
      </c>
      <c r="O38" s="29"/>
      <c r="P38" s="29"/>
    </row>
    <row r="39" spans="1:16" x14ac:dyDescent="0.3">
      <c r="A39" t="s">
        <v>68</v>
      </c>
      <c r="B39">
        <f t="shared" si="0"/>
        <v>70</v>
      </c>
      <c r="C39">
        <v>37</v>
      </c>
      <c r="D39" s="16">
        <v>225.40710091529101</v>
      </c>
      <c r="E39" s="20">
        <v>226.46087646484301</v>
      </c>
      <c r="F39" s="18">
        <f t="shared" si="3"/>
        <v>233.08188075904525</v>
      </c>
      <c r="H39" s="18">
        <v>226.46087646484301</v>
      </c>
      <c r="I39">
        <v>3</v>
      </c>
      <c r="J39" s="4">
        <f t="shared" ca="1" si="1"/>
        <v>0.11931441219911776</v>
      </c>
      <c r="K39" s="4">
        <v>0.31841188548655486</v>
      </c>
      <c r="L39" s="4">
        <v>0.68908204580204879</v>
      </c>
      <c r="M39" s="4">
        <v>0.1848571615332617</v>
      </c>
      <c r="N39" s="4">
        <f t="shared" si="2"/>
        <v>225.933988690067</v>
      </c>
      <c r="O39" s="4"/>
      <c r="P39" s="4"/>
    </row>
    <row r="40" spans="1:16" x14ac:dyDescent="0.3">
      <c r="A40" t="s">
        <v>69</v>
      </c>
      <c r="B40">
        <f t="shared" si="0"/>
        <v>71</v>
      </c>
      <c r="C40">
        <v>38</v>
      </c>
      <c r="D40" s="16">
        <v>239.40657477779999</v>
      </c>
      <c r="E40" s="20">
        <v>239.99073028564399</v>
      </c>
      <c r="F40" s="18">
        <f t="shared" si="3"/>
        <v>246.94165062806238</v>
      </c>
      <c r="H40" s="18">
        <v>239.99073028564399</v>
      </c>
      <c r="I40">
        <v>3</v>
      </c>
      <c r="J40" s="4">
        <f t="shared" ca="1" si="1"/>
        <v>0.58847863905155917</v>
      </c>
      <c r="K40" s="4">
        <v>0.95481168333473865</v>
      </c>
      <c r="L40" s="4">
        <v>0.234332051689771</v>
      </c>
      <c r="M40" s="4">
        <v>0.17625060674408999</v>
      </c>
      <c r="N40" s="4">
        <f t="shared" si="2"/>
        <v>239.69865253172199</v>
      </c>
      <c r="O40" s="4"/>
      <c r="P40" s="4"/>
    </row>
    <row r="41" spans="1:16" x14ac:dyDescent="0.3">
      <c r="A41" t="s">
        <v>70</v>
      </c>
      <c r="B41">
        <f t="shared" si="0"/>
        <v>72</v>
      </c>
      <c r="C41">
        <v>39</v>
      </c>
      <c r="D41" s="16">
        <v>250.66298310563701</v>
      </c>
      <c r="E41" s="20">
        <v>251.44344329833899</v>
      </c>
      <c r="F41" s="18">
        <f t="shared" si="3"/>
        <v>261.62556530059896</v>
      </c>
      <c r="H41" s="18">
        <v>251.44344329833899</v>
      </c>
      <c r="I41">
        <v>3</v>
      </c>
      <c r="J41" s="4">
        <f t="shared" ca="1" si="1"/>
        <v>0.91866072587818304</v>
      </c>
      <c r="K41" s="4">
        <v>8.031856679977567E-2</v>
      </c>
      <c r="L41" s="4">
        <v>0.49531664204983517</v>
      </c>
      <c r="M41" s="4">
        <v>0.10614219082381715</v>
      </c>
      <c r="N41" s="4">
        <f t="shared" si="2"/>
        <v>251.053213201988</v>
      </c>
      <c r="O41" s="4"/>
      <c r="P41" s="4"/>
    </row>
    <row r="42" spans="1:16" x14ac:dyDescent="0.3">
      <c r="A42" t="s">
        <v>71</v>
      </c>
      <c r="B42">
        <f t="shared" si="0"/>
        <v>73</v>
      </c>
      <c r="C42">
        <v>40</v>
      </c>
      <c r="D42" s="16">
        <v>268.85493744800698</v>
      </c>
      <c r="E42" s="20">
        <v>270.76040649414</v>
      </c>
      <c r="F42" s="18">
        <f t="shared" si="3"/>
        <v>277.18263097687247</v>
      </c>
      <c r="H42" s="18">
        <v>270.76040649414</v>
      </c>
      <c r="I42">
        <v>3</v>
      </c>
      <c r="J42" s="4">
        <f t="shared" ca="1" si="1"/>
        <v>0.27808423263264836</v>
      </c>
      <c r="K42" s="4">
        <v>0.28789730192789598</v>
      </c>
      <c r="L42" s="4">
        <v>0.79586964770589519</v>
      </c>
      <c r="M42" s="4">
        <v>0.68057565437178869</v>
      </c>
      <c r="N42" s="4">
        <f t="shared" si="2"/>
        <v>269.80767197107349</v>
      </c>
      <c r="O42" s="4"/>
      <c r="P42" s="4"/>
    </row>
    <row r="43" spans="1:16" x14ac:dyDescent="0.3">
      <c r="A43" t="s">
        <v>72</v>
      </c>
      <c r="B43">
        <f t="shared" si="0"/>
        <v>74</v>
      </c>
      <c r="C43">
        <v>41</v>
      </c>
      <c r="D43" s="16">
        <v>281.044108328155</v>
      </c>
      <c r="E43" s="20">
        <v>282.017822265625</v>
      </c>
      <c r="F43" s="18">
        <f t="shared" si="3"/>
        <v>293.66476791740797</v>
      </c>
      <c r="H43" s="18">
        <v>282.017822265625</v>
      </c>
      <c r="I43">
        <v>3</v>
      </c>
      <c r="J43" s="4">
        <f t="shared" ca="1" si="1"/>
        <v>0.98635760983710508</v>
      </c>
      <c r="K43" s="4">
        <v>3.4202223337405857E-2</v>
      </c>
      <c r="L43" s="4">
        <v>0.19024571959383341</v>
      </c>
      <c r="M43" s="4">
        <v>0.8455713416359858</v>
      </c>
      <c r="N43" s="4">
        <f t="shared" si="2"/>
        <v>281.53096529689003</v>
      </c>
      <c r="O43" s="4"/>
      <c r="P43" s="4"/>
    </row>
    <row r="44" spans="1:16" x14ac:dyDescent="0.3">
      <c r="A44" t="s">
        <v>73</v>
      </c>
      <c r="B44">
        <f t="shared" si="0"/>
        <v>75</v>
      </c>
      <c r="C44">
        <v>42</v>
      </c>
      <c r="D44" s="16">
        <v>298.88161644086802</v>
      </c>
      <c r="E44" s="20">
        <v>300.59477233886702</v>
      </c>
      <c r="F44" s="18">
        <f t="shared" si="3"/>
        <v>311.12698372208138</v>
      </c>
      <c r="H44" s="18">
        <v>300.59477233886702</v>
      </c>
      <c r="I44">
        <v>3</v>
      </c>
      <c r="J44" s="4">
        <f t="shared" ca="1" si="1"/>
        <v>0.89193866665218369</v>
      </c>
      <c r="K44" s="4">
        <v>0.75137997257622746</v>
      </c>
      <c r="L44" s="4">
        <v>0.91387400268434571</v>
      </c>
      <c r="M44" s="4">
        <v>7.6285677247242889E-2</v>
      </c>
      <c r="N44" s="4">
        <f t="shared" si="2"/>
        <v>299.73819438986754</v>
      </c>
      <c r="O44" s="4"/>
      <c r="P44" s="4"/>
    </row>
    <row r="45" spans="1:16" x14ac:dyDescent="0.3">
      <c r="A45" t="s">
        <v>74</v>
      </c>
      <c r="B45">
        <f t="shared" si="0"/>
        <v>76</v>
      </c>
      <c r="C45">
        <v>43</v>
      </c>
      <c r="D45" s="16">
        <v>311.43870308391399</v>
      </c>
      <c r="E45" s="20">
        <v>312.96795654296801</v>
      </c>
      <c r="F45" s="18">
        <f t="shared" si="3"/>
        <v>329.62755691287043</v>
      </c>
      <c r="H45" s="18">
        <v>312.96795654296801</v>
      </c>
      <c r="I45">
        <v>3</v>
      </c>
      <c r="J45" s="4">
        <f t="shared" ca="1" si="1"/>
        <v>0.52879194217352454</v>
      </c>
      <c r="K45" s="4">
        <v>0.24929124293029947</v>
      </c>
      <c r="L45" s="4">
        <v>0.60036169830312436</v>
      </c>
      <c r="M45" s="4">
        <v>4.3867188586101391E-2</v>
      </c>
      <c r="N45" s="4">
        <f t="shared" si="2"/>
        <v>312.20332981344097</v>
      </c>
      <c r="O45" s="4"/>
      <c r="P45" s="4"/>
    </row>
    <row r="46" spans="1:16" x14ac:dyDescent="0.3">
      <c r="A46" t="s">
        <v>75</v>
      </c>
      <c r="B46">
        <f t="shared" si="0"/>
        <v>77</v>
      </c>
      <c r="C46">
        <v>44</v>
      </c>
      <c r="D46" s="16">
        <v>338.09395069244999</v>
      </c>
      <c r="E46" s="20">
        <v>341.12612915039</v>
      </c>
      <c r="F46" s="18">
        <f t="shared" si="3"/>
        <v>349.22823143300445</v>
      </c>
      <c r="H46" s="18">
        <v>341.12612915039</v>
      </c>
      <c r="I46">
        <v>3</v>
      </c>
      <c r="J46" s="4">
        <f t="shared" ca="1" si="1"/>
        <v>0.34910519709281984</v>
      </c>
      <c r="K46" s="4">
        <v>0.29804160612107455</v>
      </c>
      <c r="L46" s="4">
        <v>0.48352900570667423</v>
      </c>
      <c r="M46" s="4">
        <v>0.76125632793777509</v>
      </c>
      <c r="N46" s="4">
        <f t="shared" si="2"/>
        <v>339.61003992142003</v>
      </c>
      <c r="O46" s="4"/>
      <c r="P46" s="4"/>
    </row>
    <row r="47" spans="1:16" x14ac:dyDescent="0.3">
      <c r="A47" t="s">
        <v>76</v>
      </c>
      <c r="B47">
        <f t="shared" si="0"/>
        <v>78</v>
      </c>
      <c r="C47">
        <v>45</v>
      </c>
      <c r="D47" s="16">
        <v>357.68585618336903</v>
      </c>
      <c r="E47" s="20">
        <v>359.42364501953102</v>
      </c>
      <c r="F47" s="18">
        <f t="shared" si="3"/>
        <v>369.99442271163502</v>
      </c>
      <c r="H47" s="18">
        <v>359.42364501953102</v>
      </c>
      <c r="I47">
        <v>3</v>
      </c>
      <c r="J47" s="4">
        <f t="shared" ca="1" si="1"/>
        <v>0.18229502737962533</v>
      </c>
      <c r="K47" s="4">
        <v>0.20769494057005744</v>
      </c>
      <c r="L47" s="4">
        <v>0.80892999065925664</v>
      </c>
      <c r="M47" s="4">
        <v>3.7670712395264982E-2</v>
      </c>
      <c r="N47" s="4">
        <f t="shared" si="2"/>
        <v>358.55475060145</v>
      </c>
      <c r="O47" s="4"/>
      <c r="P47" s="4"/>
    </row>
    <row r="48" spans="1:16" x14ac:dyDescent="0.3">
      <c r="A48" t="s">
        <v>77</v>
      </c>
      <c r="B48">
        <f t="shared" si="0"/>
        <v>79</v>
      </c>
      <c r="C48">
        <v>46</v>
      </c>
      <c r="D48" s="16">
        <v>379.94199290908199</v>
      </c>
      <c r="E48" s="20">
        <v>380.88848876953102</v>
      </c>
      <c r="F48" s="18">
        <f t="shared" si="3"/>
        <v>391.99543598174995</v>
      </c>
      <c r="H48" s="18">
        <v>380.88848876953102</v>
      </c>
      <c r="I48">
        <v>3</v>
      </c>
      <c r="J48" s="4">
        <f t="shared" ca="1" si="1"/>
        <v>0.81884180693286412</v>
      </c>
      <c r="K48" s="4">
        <v>0.54190990267350281</v>
      </c>
      <c r="L48" s="4">
        <v>0.81384886051174887</v>
      </c>
      <c r="M48" s="4">
        <v>0.63522657994024678</v>
      </c>
      <c r="N48" s="4">
        <f t="shared" si="2"/>
        <v>380.41524083930653</v>
      </c>
      <c r="O48" s="4"/>
      <c r="P48" s="4"/>
    </row>
    <row r="49" spans="1:16" x14ac:dyDescent="0.3">
      <c r="A49" t="s">
        <v>78</v>
      </c>
      <c r="B49">
        <f t="shared" si="0"/>
        <v>80</v>
      </c>
      <c r="C49">
        <v>47</v>
      </c>
      <c r="D49" s="16">
        <v>400.50488549297199</v>
      </c>
      <c r="E49" s="20">
        <v>401.34313964843699</v>
      </c>
      <c r="F49" s="18">
        <f t="shared" si="3"/>
        <v>415.30469757994587</v>
      </c>
      <c r="H49" s="18">
        <v>401.34313964843699</v>
      </c>
      <c r="I49">
        <v>3</v>
      </c>
      <c r="J49" s="4">
        <f t="shared" ca="1" si="1"/>
        <v>0.44722936726979823</v>
      </c>
      <c r="K49" s="4">
        <v>0.87041312176130292</v>
      </c>
      <c r="L49" s="4">
        <v>5.8991949985899406E-2</v>
      </c>
      <c r="M49" s="4">
        <v>0.35037973793511346</v>
      </c>
      <c r="N49" s="4">
        <f t="shared" si="2"/>
        <v>400.92401257070446</v>
      </c>
      <c r="O49" s="4"/>
      <c r="P49" s="4"/>
    </row>
    <row r="50" spans="1:16" s="24" customFormat="1" x14ac:dyDescent="0.3">
      <c r="A50" s="24" t="s">
        <v>79</v>
      </c>
      <c r="B50" s="24">
        <f t="shared" si="0"/>
        <v>81</v>
      </c>
      <c r="C50" s="24">
        <v>48</v>
      </c>
      <c r="D50" s="25">
        <v>421.181716564635</v>
      </c>
      <c r="E50" s="26">
        <v>422.569091796875</v>
      </c>
      <c r="F50" s="27">
        <f>F49*POWER(2,1/12)</f>
        <v>440.0000000000008</v>
      </c>
      <c r="G50" s="28"/>
      <c r="H50" s="27">
        <v>422.569091796875</v>
      </c>
      <c r="I50" s="24">
        <v>3</v>
      </c>
      <c r="J50" s="29">
        <f t="shared" ca="1" si="1"/>
        <v>0.573265273852686</v>
      </c>
      <c r="K50" s="29">
        <v>0.44462156059686397</v>
      </c>
      <c r="L50" s="29">
        <v>0.35258070799866403</v>
      </c>
      <c r="M50" s="29">
        <v>0.78408469457294572</v>
      </c>
      <c r="N50" s="29">
        <f t="shared" si="2"/>
        <v>421.87540418075503</v>
      </c>
      <c r="O50" s="29"/>
      <c r="P50" s="29"/>
    </row>
    <row r="51" spans="1:16" x14ac:dyDescent="0.3">
      <c r="A51" t="s">
        <v>80</v>
      </c>
      <c r="B51">
        <f t="shared" si="0"/>
        <v>82</v>
      </c>
      <c r="C51">
        <v>49</v>
      </c>
      <c r="D51" s="16">
        <v>446.75647736189802</v>
      </c>
      <c r="E51" s="20">
        <v>450.22381591796801</v>
      </c>
      <c r="F51" s="18">
        <f t="shared" si="3"/>
        <v>466.16376151809078</v>
      </c>
      <c r="H51" s="18">
        <v>450.22381591796801</v>
      </c>
      <c r="I51">
        <v>3</v>
      </c>
      <c r="J51" s="4">
        <f t="shared" ca="1" si="1"/>
        <v>0.31802353725746413</v>
      </c>
      <c r="K51" s="4">
        <v>0.30973338762642155</v>
      </c>
      <c r="L51" s="4">
        <v>0.73917578002689599</v>
      </c>
      <c r="M51" s="4">
        <v>0.43345090154623611</v>
      </c>
      <c r="N51" s="4">
        <f t="shared" si="2"/>
        <v>448.49014663993302</v>
      </c>
      <c r="O51" s="4"/>
      <c r="P51" s="4"/>
    </row>
    <row r="52" spans="1:16" x14ac:dyDescent="0.3">
      <c r="A52" t="s">
        <v>81</v>
      </c>
      <c r="B52">
        <f t="shared" si="0"/>
        <v>83</v>
      </c>
      <c r="C52">
        <v>50</v>
      </c>
      <c r="D52" s="16">
        <v>476.78483437764999</v>
      </c>
      <c r="E52" s="20">
        <v>478.39596557617102</v>
      </c>
      <c r="F52" s="18">
        <f>F51*POWER(2,1/12)</f>
        <v>493.88330125612504</v>
      </c>
      <c r="H52" s="18">
        <v>478.39596557617102</v>
      </c>
      <c r="I52">
        <v>3</v>
      </c>
      <c r="J52" s="4">
        <f t="shared" ca="1" si="1"/>
        <v>0.17225722728996229</v>
      </c>
      <c r="K52" s="4">
        <v>0.33572986621031309</v>
      </c>
      <c r="L52" s="4">
        <v>0.61752225878501299</v>
      </c>
      <c r="M52" s="4">
        <v>0.41583584392780015</v>
      </c>
      <c r="N52" s="4">
        <f t="shared" si="2"/>
        <v>477.59039997691048</v>
      </c>
      <c r="O52" s="4"/>
      <c r="P52" s="4"/>
    </row>
    <row r="53" spans="1:16" x14ac:dyDescent="0.3">
      <c r="A53" t="s">
        <v>82</v>
      </c>
      <c r="B53">
        <f t="shared" si="0"/>
        <v>84</v>
      </c>
      <c r="C53">
        <v>51</v>
      </c>
      <c r="D53" s="16">
        <v>502.944324093918</v>
      </c>
      <c r="E53" s="20">
        <v>505.330474853515</v>
      </c>
      <c r="F53" s="18">
        <f t="shared" si="3"/>
        <v>523.25113060119827</v>
      </c>
      <c r="H53" s="18">
        <v>505.330474853515</v>
      </c>
      <c r="I53">
        <v>3</v>
      </c>
      <c r="J53" s="4">
        <f t="shared" ca="1" si="1"/>
        <v>0.30316199955355982</v>
      </c>
      <c r="K53" s="4">
        <v>0.47666603290839527</v>
      </c>
      <c r="L53" s="4">
        <v>0.3660913829397362</v>
      </c>
      <c r="M53" s="4">
        <v>0.20193204755624883</v>
      </c>
      <c r="N53" s="4">
        <f t="shared" si="2"/>
        <v>504.13739947371653</v>
      </c>
      <c r="O53" s="4"/>
      <c r="P53" s="4"/>
    </row>
    <row r="54" spans="1:16" x14ac:dyDescent="0.3">
      <c r="A54" t="s">
        <v>83</v>
      </c>
      <c r="B54">
        <f t="shared" si="0"/>
        <v>85</v>
      </c>
      <c r="C54">
        <v>52</v>
      </c>
      <c r="D54" s="16">
        <v>515.40620232399999</v>
      </c>
      <c r="E54" s="20">
        <v>517.26461791992097</v>
      </c>
      <c r="F54" s="18">
        <f t="shared" si="3"/>
        <v>554.36526195374529</v>
      </c>
      <c r="H54" s="18">
        <v>517.26461791992097</v>
      </c>
      <c r="I54">
        <v>3</v>
      </c>
      <c r="J54" s="4">
        <f t="shared" ca="1" si="1"/>
        <v>0.58096508425846349</v>
      </c>
      <c r="K54" s="4">
        <v>0.48145241570552633</v>
      </c>
      <c r="L54" s="4">
        <v>0.99553310746775481</v>
      </c>
      <c r="M54" s="4">
        <v>0.95345588316502283</v>
      </c>
      <c r="N54" s="4">
        <f t="shared" si="2"/>
        <v>516.33541012196042</v>
      </c>
      <c r="O54" s="4"/>
      <c r="P54" s="4"/>
    </row>
    <row r="55" spans="1:16" x14ac:dyDescent="0.3">
      <c r="A55" t="s">
        <v>84</v>
      </c>
      <c r="B55">
        <f t="shared" si="0"/>
        <v>86</v>
      </c>
      <c r="C55">
        <v>53</v>
      </c>
      <c r="D55" s="16">
        <v>545.95243321699604</v>
      </c>
      <c r="E55" s="20">
        <v>548.1640625</v>
      </c>
      <c r="F55" s="18">
        <f t="shared" si="3"/>
        <v>587.32953583481628</v>
      </c>
      <c r="H55" s="18">
        <v>548.1640625</v>
      </c>
      <c r="I55">
        <v>3</v>
      </c>
      <c r="J55" s="4">
        <f t="shared" ca="1" si="1"/>
        <v>0.83090310979545778</v>
      </c>
      <c r="K55" s="4">
        <v>2.1936151067853737E-2</v>
      </c>
      <c r="L55" s="4">
        <v>0.73823120246506813</v>
      </c>
      <c r="M55" s="4">
        <v>0.19985120376841981</v>
      </c>
      <c r="N55" s="4">
        <f t="shared" si="2"/>
        <v>547.05824785849802</v>
      </c>
      <c r="O55" s="4"/>
      <c r="P55" s="4"/>
    </row>
    <row r="56" spans="1:16" x14ac:dyDescent="0.3">
      <c r="A56" t="s">
        <v>85</v>
      </c>
      <c r="B56">
        <f t="shared" si="0"/>
        <v>87</v>
      </c>
      <c r="C56">
        <v>54</v>
      </c>
      <c r="D56" s="16">
        <v>590.70649597421004</v>
      </c>
      <c r="E56" s="20">
        <v>594.32931518554597</v>
      </c>
      <c r="F56" s="18">
        <f t="shared" si="3"/>
        <v>622.2539674441631</v>
      </c>
      <c r="H56" s="18">
        <v>594.32931518554597</v>
      </c>
      <c r="I56">
        <v>3</v>
      </c>
      <c r="J56" s="4">
        <f t="shared" ca="1" si="1"/>
        <v>0.43449966784876137</v>
      </c>
      <c r="K56" s="4">
        <v>0.96738747112235823</v>
      </c>
      <c r="L56" s="4">
        <v>0.88826786003068536</v>
      </c>
      <c r="M56" s="4">
        <v>0.8377689175667653</v>
      </c>
      <c r="N56" s="4">
        <f t="shared" si="2"/>
        <v>592.51790557987806</v>
      </c>
      <c r="O56" s="4"/>
      <c r="P56" s="4"/>
    </row>
    <row r="57" spans="1:16" x14ac:dyDescent="0.3">
      <c r="A57" t="s">
        <v>86</v>
      </c>
      <c r="B57">
        <f t="shared" si="0"/>
        <v>88</v>
      </c>
      <c r="C57">
        <v>55</v>
      </c>
      <c r="D57" s="16">
        <v>629.86386880288205</v>
      </c>
      <c r="E57" s="20">
        <v>632.85357666015602</v>
      </c>
      <c r="F57" s="18">
        <f t="shared" si="3"/>
        <v>659.2551138257412</v>
      </c>
      <c r="H57" s="18">
        <v>632.85357666015602</v>
      </c>
      <c r="I57">
        <v>3</v>
      </c>
      <c r="J57" s="4">
        <f t="shared" ca="1" si="1"/>
        <v>0.23080360260390287</v>
      </c>
      <c r="K57" s="4">
        <v>0.14523634205494529</v>
      </c>
      <c r="L57" s="4">
        <v>0.1721967144883878</v>
      </c>
      <c r="M57" s="4">
        <v>0.48695450870607049</v>
      </c>
      <c r="N57" s="4">
        <f t="shared" si="2"/>
        <v>631.35872273151904</v>
      </c>
      <c r="O57" s="4"/>
      <c r="P57" s="4"/>
    </row>
    <row r="58" spans="1:16" x14ac:dyDescent="0.3">
      <c r="A58" t="s">
        <v>87</v>
      </c>
      <c r="B58">
        <f t="shared" si="0"/>
        <v>89</v>
      </c>
      <c r="C58">
        <v>56</v>
      </c>
      <c r="D58" s="16">
        <v>664.17918314640497</v>
      </c>
      <c r="E58" s="20">
        <v>667.36047363281205</v>
      </c>
      <c r="F58" s="18">
        <f t="shared" si="3"/>
        <v>698.45646286600925</v>
      </c>
      <c r="H58" s="18">
        <v>667.36047363281205</v>
      </c>
      <c r="I58">
        <v>3</v>
      </c>
      <c r="J58" s="4">
        <f t="shared" ca="1" si="1"/>
        <v>0.86563449734418374</v>
      </c>
      <c r="K58" s="4">
        <v>0.49371279074193153</v>
      </c>
      <c r="L58" s="4">
        <v>0.4252190405247176</v>
      </c>
      <c r="M58" s="4">
        <v>0.39756108894473707</v>
      </c>
      <c r="N58" s="4">
        <f t="shared" si="2"/>
        <v>665.76982838960851</v>
      </c>
      <c r="O58" s="4"/>
      <c r="P58" s="4"/>
    </row>
    <row r="59" spans="1:16" x14ac:dyDescent="0.3">
      <c r="A59" t="s">
        <v>88</v>
      </c>
      <c r="B59">
        <f t="shared" si="0"/>
        <v>90</v>
      </c>
      <c r="C59">
        <v>57</v>
      </c>
      <c r="D59" s="16">
        <v>704.87810965105803</v>
      </c>
      <c r="E59" s="20">
        <v>706.65289306640602</v>
      </c>
      <c r="F59" s="18">
        <f t="shared" si="3"/>
        <v>739.98884542327039</v>
      </c>
      <c r="H59" s="18">
        <v>706.65289306640602</v>
      </c>
      <c r="I59">
        <v>3</v>
      </c>
      <c r="J59" s="4">
        <f t="shared" ca="1" si="1"/>
        <v>0.6847447904108932</v>
      </c>
      <c r="K59" s="4">
        <v>6.0955510652993095E-2</v>
      </c>
      <c r="L59" s="4">
        <v>0.44069686416327858</v>
      </c>
      <c r="M59" s="4">
        <v>0.64052630807057698</v>
      </c>
      <c r="N59" s="4">
        <f t="shared" si="2"/>
        <v>705.76550135873208</v>
      </c>
      <c r="O59" s="4"/>
      <c r="P59" s="4"/>
    </row>
    <row r="60" spans="1:16" x14ac:dyDescent="0.3">
      <c r="A60" t="s">
        <v>89</v>
      </c>
      <c r="B60">
        <f t="shared" si="0"/>
        <v>91</v>
      </c>
      <c r="C60">
        <v>58</v>
      </c>
      <c r="D60" s="16">
        <v>746.5260852742</v>
      </c>
      <c r="E60" s="20">
        <v>748.64080810546795</v>
      </c>
      <c r="F60" s="18">
        <f t="shared" si="3"/>
        <v>783.99087196350035</v>
      </c>
      <c r="H60" s="18">
        <v>748.64080810546795</v>
      </c>
      <c r="I60">
        <v>3</v>
      </c>
      <c r="J60" s="4">
        <f t="shared" ca="1" si="1"/>
        <v>0.11660816144869424</v>
      </c>
      <c r="K60" s="4">
        <v>0.84017437083578261</v>
      </c>
      <c r="L60" s="4">
        <v>0.62805893899792598</v>
      </c>
      <c r="M60" s="4">
        <v>0.11508193479496243</v>
      </c>
      <c r="N60" s="4">
        <f t="shared" si="2"/>
        <v>747.58344668983398</v>
      </c>
      <c r="O60" s="4"/>
      <c r="P60" s="4"/>
    </row>
    <row r="61" spans="1:16" x14ac:dyDescent="0.3">
      <c r="A61" t="s">
        <v>90</v>
      </c>
      <c r="B61">
        <f t="shared" si="0"/>
        <v>92</v>
      </c>
      <c r="C61">
        <v>59</v>
      </c>
      <c r="D61" s="16">
        <v>798.29809382725603</v>
      </c>
      <c r="E61" s="20">
        <v>802.35629272460903</v>
      </c>
      <c r="F61" s="18">
        <f t="shared" si="3"/>
        <v>830.60939515989219</v>
      </c>
      <c r="H61" s="18">
        <v>802.35629272460903</v>
      </c>
      <c r="I61">
        <v>3</v>
      </c>
      <c r="J61" s="4">
        <f t="shared" ca="1" si="1"/>
        <v>0.36864401288793758</v>
      </c>
      <c r="K61" s="4">
        <v>0.44700201828882691</v>
      </c>
      <c r="L61" s="4">
        <v>0.92370139032589582</v>
      </c>
      <c r="M61" s="4">
        <v>0.71711195165064001</v>
      </c>
      <c r="N61" s="4">
        <f t="shared" si="2"/>
        <v>800.32719327593259</v>
      </c>
      <c r="O61" s="4"/>
      <c r="P61" s="4"/>
    </row>
    <row r="62" spans="1:16" s="24" customFormat="1" x14ac:dyDescent="0.3">
      <c r="A62" s="24" t="s">
        <v>91</v>
      </c>
      <c r="B62" s="24">
        <f t="shared" si="0"/>
        <v>93</v>
      </c>
      <c r="C62" s="24">
        <v>60</v>
      </c>
      <c r="D62" s="25">
        <v>847.76849238695002</v>
      </c>
      <c r="E62" s="26">
        <v>849.85186767578102</v>
      </c>
      <c r="F62" s="27">
        <f t="shared" si="3"/>
        <v>880.00000000000205</v>
      </c>
      <c r="G62" s="28">
        <v>856</v>
      </c>
      <c r="H62" s="27">
        <v>849.85186767578102</v>
      </c>
      <c r="I62" s="24">
        <v>3</v>
      </c>
      <c r="J62" s="29">
        <f t="shared" ca="1" si="1"/>
        <v>0.79893588771577395</v>
      </c>
      <c r="K62" s="29">
        <v>0.31652505396822705</v>
      </c>
      <c r="L62" s="29">
        <v>0.53612967434850756</v>
      </c>
      <c r="M62" s="29">
        <v>0.43729524521024443</v>
      </c>
      <c r="N62" s="29">
        <f t="shared" si="2"/>
        <v>848.81018003136546</v>
      </c>
      <c r="O62" s="29"/>
      <c r="P62" s="29"/>
    </row>
    <row r="63" spans="1:16" x14ac:dyDescent="0.3">
      <c r="A63" t="s">
        <v>92</v>
      </c>
      <c r="B63">
        <f t="shared" si="0"/>
        <v>94</v>
      </c>
      <c r="C63">
        <v>61</v>
      </c>
      <c r="D63" s="16">
        <v>900.87832748388303</v>
      </c>
      <c r="E63" s="20">
        <v>905.08139038085903</v>
      </c>
      <c r="F63" s="18">
        <f t="shared" si="3"/>
        <v>932.32752303618201</v>
      </c>
      <c r="H63" s="18">
        <v>905.08139038085903</v>
      </c>
      <c r="I63">
        <v>3</v>
      </c>
      <c r="J63" s="4">
        <f t="shared" ca="1" si="1"/>
        <v>0.92175996917184877</v>
      </c>
      <c r="K63" s="4">
        <v>0.53012209637953223</v>
      </c>
      <c r="L63" s="4">
        <v>0.28478531384688677</v>
      </c>
      <c r="M63" s="4">
        <v>0.50268423347609958</v>
      </c>
      <c r="N63" s="4">
        <f t="shared" si="2"/>
        <v>902.97985893237103</v>
      </c>
      <c r="O63" s="4"/>
      <c r="P63" s="4"/>
    </row>
    <row r="64" spans="1:16" x14ac:dyDescent="0.3">
      <c r="A64" t="s">
        <v>93</v>
      </c>
      <c r="B64">
        <f t="shared" si="0"/>
        <v>95</v>
      </c>
      <c r="C64">
        <v>62</v>
      </c>
      <c r="D64" s="16">
        <v>938.01079609756698</v>
      </c>
      <c r="E64" s="20">
        <v>942.76617431640602</v>
      </c>
      <c r="F64" s="18">
        <f t="shared" si="3"/>
        <v>987.76660251225053</v>
      </c>
      <c r="H64" s="18">
        <v>942.76617431640602</v>
      </c>
      <c r="I64">
        <v>3</v>
      </c>
      <c r="J64" s="4">
        <f t="shared" ca="1" si="1"/>
        <v>0.38076468422899223</v>
      </c>
      <c r="K64" s="4">
        <v>0.53385962079543314</v>
      </c>
      <c r="L64" s="4">
        <v>0.75234602906444237</v>
      </c>
      <c r="M64" s="4">
        <v>0.20254856495622919</v>
      </c>
      <c r="N64" s="4">
        <f t="shared" si="2"/>
        <v>940.3884852069865</v>
      </c>
      <c r="O64" s="4"/>
      <c r="P64" s="4"/>
    </row>
    <row r="65" spans="1:16" x14ac:dyDescent="0.3">
      <c r="A65" t="s">
        <v>94</v>
      </c>
      <c r="B65">
        <f t="shared" si="0"/>
        <v>96</v>
      </c>
      <c r="C65">
        <v>63</v>
      </c>
      <c r="D65" s="16">
        <v>1016.30556256871</v>
      </c>
      <c r="E65" s="20">
        <v>1016.8302307128901</v>
      </c>
      <c r="F65" s="18">
        <f t="shared" si="3"/>
        <v>1046.502261202397</v>
      </c>
      <c r="H65" s="18">
        <v>1016.8302307128901</v>
      </c>
      <c r="I65">
        <v>3</v>
      </c>
      <c r="J65" s="4">
        <f t="shared" ca="1" si="1"/>
        <v>0.49706988860892098</v>
      </c>
      <c r="K65" s="4">
        <v>0.34141394558349558</v>
      </c>
      <c r="L65" s="4">
        <v>2.662679901777909E-2</v>
      </c>
      <c r="M65" s="4">
        <v>0.79531951000327972</v>
      </c>
      <c r="N65" s="4">
        <f t="shared" si="2"/>
        <v>1016.5678966408</v>
      </c>
      <c r="O65" s="4"/>
      <c r="P65" s="4"/>
    </row>
    <row r="66" spans="1:16" x14ac:dyDescent="0.3">
      <c r="A66" t="s">
        <v>95</v>
      </c>
      <c r="B66">
        <f t="shared" si="0"/>
        <v>97</v>
      </c>
      <c r="C66">
        <v>64</v>
      </c>
      <c r="D66" s="16">
        <v>1062.47821662618</v>
      </c>
      <c r="E66" s="20">
        <v>1064.78637695312</v>
      </c>
      <c r="F66" s="18">
        <f t="shared" si="3"/>
        <v>1108.730523907491</v>
      </c>
      <c r="H66" s="18">
        <v>1064.78637695312</v>
      </c>
      <c r="I66">
        <v>3</v>
      </c>
      <c r="J66" s="4">
        <f t="shared" ca="1" si="1"/>
        <v>0.54102469065073033</v>
      </c>
      <c r="K66" s="4">
        <v>0.40078027153445561</v>
      </c>
      <c r="L66" s="4">
        <v>0.72447397308415906</v>
      </c>
      <c r="M66" s="4">
        <v>0.61139765198955154</v>
      </c>
      <c r="N66" s="4">
        <f t="shared" si="2"/>
        <v>1063.6322967896499</v>
      </c>
      <c r="O66" s="4"/>
      <c r="P66" s="4"/>
    </row>
    <row r="67" spans="1:16" x14ac:dyDescent="0.3">
      <c r="A67" t="s">
        <v>96</v>
      </c>
      <c r="B67">
        <f t="shared" ref="B67:B86" si="4">C67+33</f>
        <v>98</v>
      </c>
      <c r="C67">
        <v>65</v>
      </c>
      <c r="D67" s="16">
        <v>1134.5271353835799</v>
      </c>
      <c r="E67" s="20">
        <v>1128.6564331054601</v>
      </c>
      <c r="F67" s="18">
        <f t="shared" si="3"/>
        <v>1174.659071669633</v>
      </c>
      <c r="H67" s="18">
        <v>1128.6564331054601</v>
      </c>
      <c r="I67">
        <v>3</v>
      </c>
      <c r="J67" s="4">
        <f t="shared" ref="J67:J86" ca="1" si="5">RAND()</f>
        <v>0.91029159312992902</v>
      </c>
      <c r="K67" s="4">
        <v>0.53035394079898279</v>
      </c>
      <c r="L67" s="4">
        <v>0.35117151458018248</v>
      </c>
      <c r="M67" s="4">
        <v>0.83058345688459012</v>
      </c>
      <c r="N67" s="4">
        <f t="shared" ref="N67:N79" si="6">AVERAGE(D67:E67)</f>
        <v>1131.5917842445201</v>
      </c>
      <c r="O67" s="4"/>
      <c r="P67" s="4"/>
    </row>
    <row r="68" spans="1:16" x14ac:dyDescent="0.3">
      <c r="A68" t="s">
        <v>97</v>
      </c>
      <c r="B68">
        <f t="shared" si="4"/>
        <v>99</v>
      </c>
      <c r="C68">
        <v>66</v>
      </c>
      <c r="D68" s="16">
        <v>1200.72759153989</v>
      </c>
      <c r="E68" s="20">
        <v>1200.7982788085901</v>
      </c>
      <c r="F68" s="18">
        <f t="shared" ref="F68:F86" si="7">F67*POWER(2,1/12)</f>
        <v>1244.5079348883266</v>
      </c>
      <c r="H68" s="18">
        <v>1200.7982788085901</v>
      </c>
      <c r="I68">
        <v>3</v>
      </c>
      <c r="J68" s="4">
        <f t="shared" ca="1" si="5"/>
        <v>4.3253654645083239E-2</v>
      </c>
      <c r="K68" s="4">
        <v>0.85066202920853051</v>
      </c>
      <c r="L68" s="4">
        <v>0.33226705916502342</v>
      </c>
      <c r="M68" s="4">
        <v>0.21079165540672007</v>
      </c>
      <c r="N68" s="4">
        <f t="shared" si="6"/>
        <v>1200.7629351742401</v>
      </c>
      <c r="O68" s="4"/>
      <c r="P68" s="4"/>
    </row>
    <row r="69" spans="1:16" x14ac:dyDescent="0.3">
      <c r="A69" t="s">
        <v>98</v>
      </c>
      <c r="B69">
        <f t="shared" si="4"/>
        <v>100</v>
      </c>
      <c r="C69">
        <v>67</v>
      </c>
      <c r="D69" s="16">
        <v>1294.81572510926</v>
      </c>
      <c r="E69" s="20">
        <v>1283.1427612304601</v>
      </c>
      <c r="F69" s="18">
        <f t="shared" si="7"/>
        <v>1318.5102276514829</v>
      </c>
      <c r="H69" s="18">
        <v>1283.1427612304601</v>
      </c>
      <c r="I69">
        <v>3</v>
      </c>
      <c r="J69" s="4">
        <f t="shared" ca="1" si="5"/>
        <v>0.82323946286911054</v>
      </c>
      <c r="K69" s="4">
        <v>0.79564237282474648</v>
      </c>
      <c r="L69" s="4">
        <v>0.34780831106863841</v>
      </c>
      <c r="M69" s="4">
        <v>0.82768486148133014</v>
      </c>
      <c r="N69" s="4">
        <f t="shared" si="6"/>
        <v>1288.9792431698602</v>
      </c>
      <c r="O69" s="4"/>
      <c r="P69" s="4"/>
    </row>
    <row r="70" spans="1:16" x14ac:dyDescent="0.3">
      <c r="A70" t="s">
        <v>99</v>
      </c>
      <c r="B70">
        <f t="shared" si="4"/>
        <v>101</v>
      </c>
      <c r="C70">
        <v>68</v>
      </c>
      <c r="D70" s="16">
        <v>1343.7723561999801</v>
      </c>
      <c r="E70" s="20">
        <v>1341.02954101562</v>
      </c>
      <c r="F70" s="18">
        <f t="shared" si="7"/>
        <v>1396.9129257320189</v>
      </c>
      <c r="H70" s="18">
        <v>1341.02954101562</v>
      </c>
      <c r="I70">
        <v>3</v>
      </c>
      <c r="J70" s="4">
        <f t="shared" ca="1" si="5"/>
        <v>0.52682678325193599</v>
      </c>
      <c r="K70" s="4">
        <v>0.52318313122964144</v>
      </c>
      <c r="L70" s="4">
        <v>6.6005904292473216E-2</v>
      </c>
      <c r="M70" s="4">
        <v>0.53567411681663346</v>
      </c>
      <c r="N70" s="4">
        <f t="shared" si="6"/>
        <v>1342.4009486078</v>
      </c>
      <c r="O70" s="4"/>
      <c r="P70" s="4"/>
    </row>
    <row r="71" spans="1:16" x14ac:dyDescent="0.3">
      <c r="A71" t="s">
        <v>100</v>
      </c>
      <c r="B71">
        <f t="shared" si="4"/>
        <v>102</v>
      </c>
      <c r="C71">
        <v>69</v>
      </c>
      <c r="D71" s="16">
        <v>1443.04346655564</v>
      </c>
      <c r="E71" s="20">
        <v>1442.1290893554601</v>
      </c>
      <c r="F71" s="18">
        <f t="shared" si="7"/>
        <v>1479.9776908465412</v>
      </c>
      <c r="H71" s="18">
        <v>1442.1290893554601</v>
      </c>
      <c r="I71">
        <v>3</v>
      </c>
      <c r="J71" s="4">
        <f t="shared" ca="1" si="5"/>
        <v>0.74460107517132235</v>
      </c>
      <c r="K71" s="4">
        <v>0.6522303144676761</v>
      </c>
      <c r="L71" s="4">
        <v>0.72969113406390407</v>
      </c>
      <c r="M71" s="4">
        <v>0.15108683324153849</v>
      </c>
      <c r="N71" s="4">
        <f t="shared" si="6"/>
        <v>1442.58627795555</v>
      </c>
      <c r="O71" s="4"/>
      <c r="P71" s="4"/>
    </row>
    <row r="72" spans="1:16" x14ac:dyDescent="0.3">
      <c r="A72" t="s">
        <v>101</v>
      </c>
      <c r="B72">
        <f t="shared" si="4"/>
        <v>103</v>
      </c>
      <c r="C72">
        <v>70</v>
      </c>
      <c r="D72" s="16">
        <v>1533.74407579119</v>
      </c>
      <c r="E72" s="20">
        <v>1532.4273071289001</v>
      </c>
      <c r="F72" s="18">
        <f t="shared" si="7"/>
        <v>1567.9817439270012</v>
      </c>
      <c r="H72" s="18">
        <v>1532.4273071289001</v>
      </c>
      <c r="I72">
        <v>3</v>
      </c>
      <c r="J72" s="4">
        <f t="shared" ca="1" si="5"/>
        <v>0.38191194796280448</v>
      </c>
      <c r="K72" s="4">
        <v>0.1769121737174616</v>
      </c>
      <c r="L72" s="4">
        <v>0.90403514997337375</v>
      </c>
      <c r="M72" s="4">
        <v>0.73539560038427354</v>
      </c>
      <c r="N72" s="4">
        <f t="shared" si="6"/>
        <v>1533.0856914600449</v>
      </c>
      <c r="O72" s="4"/>
      <c r="P72" s="4"/>
    </row>
    <row r="73" spans="1:16" x14ac:dyDescent="0.3">
      <c r="A73" t="s">
        <v>102</v>
      </c>
      <c r="B73">
        <f t="shared" si="4"/>
        <v>104</v>
      </c>
      <c r="C73">
        <v>71</v>
      </c>
      <c r="D73" s="16">
        <v>1546.0040358892099</v>
      </c>
      <c r="E73" s="20">
        <v>1609.13317871093</v>
      </c>
      <c r="F73" s="18">
        <f t="shared" si="7"/>
        <v>1661.2187903197848</v>
      </c>
      <c r="H73" s="18">
        <v>1609.13317871093</v>
      </c>
      <c r="I73">
        <v>3</v>
      </c>
      <c r="J73" s="4">
        <f t="shared" ca="1" si="5"/>
        <v>0.16735750554111906</v>
      </c>
      <c r="K73" s="4">
        <v>0.30880539019051378</v>
      </c>
      <c r="L73" s="4">
        <v>0.32304626886746146</v>
      </c>
      <c r="M73" s="4">
        <v>0.98246586445317508</v>
      </c>
      <c r="N73" s="4">
        <f t="shared" si="6"/>
        <v>1577.56860730007</v>
      </c>
      <c r="O73" s="4"/>
      <c r="P73" s="4"/>
    </row>
    <row r="74" spans="1:16" s="24" customFormat="1" x14ac:dyDescent="0.3">
      <c r="A74" s="24" t="s">
        <v>103</v>
      </c>
      <c r="B74" s="24">
        <f t="shared" si="4"/>
        <v>105</v>
      </c>
      <c r="C74" s="24">
        <v>72</v>
      </c>
      <c r="D74" s="25">
        <v>596.112441925555</v>
      </c>
      <c r="E74" s="26">
        <v>531.51971435546795</v>
      </c>
      <c r="F74" s="27">
        <f t="shared" si="7"/>
        <v>1760.0000000000045</v>
      </c>
      <c r="G74" s="28"/>
      <c r="H74" s="27" t="s">
        <v>132</v>
      </c>
      <c r="I74" s="24">
        <v>3</v>
      </c>
      <c r="J74" s="29">
        <f t="shared" ca="1" si="5"/>
        <v>0.48339451741706807</v>
      </c>
      <c r="K74" s="29">
        <v>7.0262423465566881E-3</v>
      </c>
      <c r="L74" s="29">
        <v>0.80825759071388992</v>
      </c>
      <c r="M74" s="29">
        <v>0.69277155182306638</v>
      </c>
      <c r="N74" s="29">
        <f t="shared" si="6"/>
        <v>563.81607814051154</v>
      </c>
      <c r="O74" s="29"/>
      <c r="P74" s="29"/>
    </row>
    <row r="75" spans="1:16" x14ac:dyDescent="0.3">
      <c r="A75" t="s">
        <v>104</v>
      </c>
      <c r="B75">
        <f t="shared" si="4"/>
        <v>106</v>
      </c>
      <c r="C75">
        <v>73</v>
      </c>
      <c r="D75" s="16">
        <v>1794.6674145843599</v>
      </c>
      <c r="E75" s="20">
        <v>1828.5154418945301</v>
      </c>
      <c r="F75" s="18">
        <f t="shared" si="7"/>
        <v>1864.6550460723645</v>
      </c>
      <c r="H75" s="18">
        <v>1828.5154418945301</v>
      </c>
      <c r="I75">
        <v>3</v>
      </c>
      <c r="J75" s="4">
        <f t="shared" ca="1" si="5"/>
        <v>0.7782980283261911</v>
      </c>
      <c r="K75" s="4">
        <v>0.88853308433958678</v>
      </c>
      <c r="L75" s="4">
        <v>0.97817788873359868</v>
      </c>
      <c r="M75" s="4">
        <v>0.33869377237107878</v>
      </c>
      <c r="N75" s="4">
        <f t="shared" si="6"/>
        <v>1811.5914282394451</v>
      </c>
      <c r="O75" s="4"/>
      <c r="P75" s="4"/>
    </row>
    <row r="76" spans="1:16" x14ac:dyDescent="0.3">
      <c r="A76" t="s">
        <v>105</v>
      </c>
      <c r="B76">
        <f t="shared" si="4"/>
        <v>107</v>
      </c>
      <c r="C76">
        <v>74</v>
      </c>
      <c r="D76" s="16">
        <v>1972.43525204087</v>
      </c>
      <c r="E76" s="20">
        <v>1987.3062133789001</v>
      </c>
      <c r="F76" s="18">
        <f t="shared" si="7"/>
        <v>1975.5332050245017</v>
      </c>
      <c r="H76" s="18">
        <v>1987.3062133789001</v>
      </c>
      <c r="I76">
        <v>3</v>
      </c>
      <c r="J76" s="4">
        <f t="shared" ca="1" si="5"/>
        <v>0.3745471930505766</v>
      </c>
      <c r="K76" s="4">
        <v>5.3317692872198341E-2</v>
      </c>
      <c r="L76" s="4">
        <v>2.2595845353655997E-2</v>
      </c>
      <c r="M76" s="4">
        <v>0.10148495437132865</v>
      </c>
      <c r="N76" s="4">
        <f t="shared" si="6"/>
        <v>1979.870732709885</v>
      </c>
      <c r="O76" s="4"/>
      <c r="P76" s="4"/>
    </row>
    <row r="77" spans="1:16" x14ac:dyDescent="0.3">
      <c r="A77" t="s">
        <v>106</v>
      </c>
      <c r="B77">
        <f t="shared" si="4"/>
        <v>108</v>
      </c>
      <c r="C77">
        <v>75</v>
      </c>
      <c r="D77" s="16">
        <v>2026.8672242482501</v>
      </c>
      <c r="E77" s="20">
        <v>2019.15991210937</v>
      </c>
      <c r="F77" s="18">
        <f t="shared" si="7"/>
        <v>2093.0045224047949</v>
      </c>
      <c r="H77" s="18">
        <v>2019.15991210937</v>
      </c>
      <c r="I77">
        <v>3</v>
      </c>
      <c r="J77" s="4">
        <f t="shared" ca="1" si="5"/>
        <v>0.51530563364875448</v>
      </c>
      <c r="K77" s="4">
        <v>0.97119500744358966</v>
      </c>
      <c r="L77" s="4">
        <v>0.71522842488098948</v>
      </c>
      <c r="M77" s="4">
        <v>0.48321978653063347</v>
      </c>
      <c r="N77" s="4">
        <f t="shared" si="6"/>
        <v>2023.0135681788101</v>
      </c>
      <c r="O77" s="4"/>
      <c r="P77" s="4"/>
    </row>
    <row r="78" spans="1:16" x14ac:dyDescent="0.3">
      <c r="A78" t="s">
        <v>107</v>
      </c>
      <c r="B78">
        <f t="shared" si="4"/>
        <v>109</v>
      </c>
      <c r="C78">
        <v>76</v>
      </c>
      <c r="D78" s="16">
        <v>2194.16237548038</v>
      </c>
      <c r="E78" s="20">
        <v>2194.4295654296802</v>
      </c>
      <c r="F78" s="18">
        <f t="shared" si="7"/>
        <v>2217.461047814983</v>
      </c>
      <c r="H78" s="18">
        <v>2194.4295654296802</v>
      </c>
      <c r="I78">
        <v>3</v>
      </c>
      <c r="J78" s="4">
        <f t="shared" ca="1" si="5"/>
        <v>0.57960266638222235</v>
      </c>
      <c r="K78" s="4">
        <v>0.52211652903954087</v>
      </c>
      <c r="L78" s="4">
        <v>0.66645910670098163</v>
      </c>
      <c r="M78" s="4">
        <v>0.70543357506788551</v>
      </c>
      <c r="N78" s="4">
        <f t="shared" si="6"/>
        <v>2194.2959704550303</v>
      </c>
      <c r="O78" s="4"/>
      <c r="P78" s="4"/>
    </row>
    <row r="79" spans="1:16" s="24" customFormat="1" x14ac:dyDescent="0.3">
      <c r="A79" s="24" t="s">
        <v>108</v>
      </c>
      <c r="B79" s="24">
        <f t="shared" si="4"/>
        <v>110</v>
      </c>
      <c r="C79" s="24">
        <v>77</v>
      </c>
      <c r="D79" s="25">
        <v>2217.4604682823601</v>
      </c>
      <c r="E79" s="26">
        <v>2217.46044921875</v>
      </c>
      <c r="F79" s="27">
        <f t="shared" si="7"/>
        <v>2349.318143339267</v>
      </c>
      <c r="G79" s="28">
        <v>2305</v>
      </c>
      <c r="H79" s="27">
        <v>2305</v>
      </c>
      <c r="I79" s="24">
        <v>3</v>
      </c>
      <c r="J79" s="29">
        <f t="shared" ca="1" si="5"/>
        <v>0.74578457775441431</v>
      </c>
      <c r="K79" s="29">
        <v>0.95623160343086033</v>
      </c>
      <c r="L79" s="29">
        <v>0.40105748538528363</v>
      </c>
      <c r="M79" s="29">
        <v>0.19704191396058779</v>
      </c>
      <c r="N79" s="29">
        <f t="shared" si="6"/>
        <v>2217.4604587505551</v>
      </c>
      <c r="O79" s="29"/>
      <c r="P79" s="29"/>
    </row>
    <row r="80" spans="1:16" s="24" customFormat="1" x14ac:dyDescent="0.3">
      <c r="A80" s="24" t="s">
        <v>109</v>
      </c>
      <c r="B80" s="24">
        <f t="shared" si="4"/>
        <v>111</v>
      </c>
      <c r="C80" s="24">
        <v>78</v>
      </c>
      <c r="D80" s="25">
        <v>2217.4604544161198</v>
      </c>
      <c r="E80" s="26">
        <v>2217.46044921875</v>
      </c>
      <c r="F80" s="27">
        <f t="shared" si="7"/>
        <v>2489.0158697766542</v>
      </c>
      <c r="G80" s="28">
        <v>2485</v>
      </c>
      <c r="H80" s="27">
        <v>2485</v>
      </c>
      <c r="I80" s="24">
        <v>3</v>
      </c>
      <c r="J80" s="29">
        <f t="shared" ca="1" si="5"/>
        <v>0.8819361738308531</v>
      </c>
      <c r="K80" s="29">
        <v>0.45354809280436537</v>
      </c>
      <c r="L80" s="29">
        <v>0.83723158142108645</v>
      </c>
      <c r="M80" s="29">
        <v>0.78865301281529998</v>
      </c>
      <c r="N80" s="29">
        <v>2428.754050501625</v>
      </c>
      <c r="O80" s="29"/>
      <c r="P80" s="29"/>
    </row>
    <row r="81" spans="1:16" s="24" customFormat="1" x14ac:dyDescent="0.3">
      <c r="A81" s="24" t="s">
        <v>110</v>
      </c>
      <c r="B81" s="24">
        <f t="shared" si="4"/>
        <v>112</v>
      </c>
      <c r="C81" s="24">
        <v>79</v>
      </c>
      <c r="D81" s="25">
        <v>2217.46044787558</v>
      </c>
      <c r="E81" s="26">
        <v>2217.46044921875</v>
      </c>
      <c r="F81" s="27">
        <f t="shared" si="7"/>
        <v>2637.0204553029671</v>
      </c>
      <c r="G81" s="28">
        <v>2615</v>
      </c>
      <c r="H81" s="27">
        <v>2615</v>
      </c>
      <c r="I81" s="24">
        <v>3</v>
      </c>
      <c r="J81" s="29">
        <f t="shared" ca="1" si="5"/>
        <v>0.29354507077781411</v>
      </c>
      <c r="K81" s="29">
        <v>0.75719309588544415</v>
      </c>
      <c r="L81" s="29">
        <v>6.0663882198474739E-2</v>
      </c>
      <c r="M81" s="29">
        <v>0.54203132431343615</v>
      </c>
      <c r="N81" s="29">
        <v>2541.7631271921573</v>
      </c>
      <c r="O81" s="29"/>
      <c r="P81" s="29"/>
    </row>
    <row r="82" spans="1:16" s="24" customFormat="1" x14ac:dyDescent="0.3">
      <c r="A82" s="24" t="s">
        <v>111</v>
      </c>
      <c r="B82" s="24">
        <f t="shared" si="4"/>
        <v>113</v>
      </c>
      <c r="C82" s="24">
        <v>80</v>
      </c>
      <c r="D82" s="25">
        <v>2217.4604514952198</v>
      </c>
      <c r="E82" s="26">
        <v>2217.46044921875</v>
      </c>
      <c r="F82" s="27">
        <f t="shared" si="7"/>
        <v>2793.8258514640393</v>
      </c>
      <c r="G82" s="28">
        <v>2752</v>
      </c>
      <c r="H82" s="27">
        <v>2752</v>
      </c>
      <c r="I82" s="24">
        <v>3</v>
      </c>
      <c r="J82" s="29">
        <f t="shared" ca="1" si="5"/>
        <v>0.32088144759623149</v>
      </c>
      <c r="K82" s="29">
        <v>0.84627429963901324</v>
      </c>
      <c r="L82" s="29">
        <v>0.87050559748462075</v>
      </c>
      <c r="M82" s="29">
        <v>0.38138846210217769</v>
      </c>
      <c r="N82" s="29">
        <v>2733.0735669920664</v>
      </c>
      <c r="O82" s="29"/>
      <c r="P82" s="29"/>
    </row>
    <row r="83" spans="1:16" s="24" customFormat="1" x14ac:dyDescent="0.3">
      <c r="A83" s="24" t="s">
        <v>112</v>
      </c>
      <c r="B83" s="24">
        <f t="shared" si="4"/>
        <v>114</v>
      </c>
      <c r="C83" s="24">
        <v>81</v>
      </c>
      <c r="D83" s="25">
        <v>2217.46041135818</v>
      </c>
      <c r="E83" s="26">
        <v>2217.46044921875</v>
      </c>
      <c r="F83" s="27">
        <f t="shared" si="7"/>
        <v>2959.9553816930838</v>
      </c>
      <c r="G83" s="28">
        <v>2925</v>
      </c>
      <c r="H83" s="27">
        <v>2925</v>
      </c>
      <c r="I83" s="24">
        <v>3</v>
      </c>
      <c r="J83" s="29">
        <f t="shared" ca="1" si="5"/>
        <v>3.2902689823480324E-2</v>
      </c>
      <c r="K83" s="29">
        <v>0.50928280494223221</v>
      </c>
      <c r="L83" s="29">
        <v>0.79948145667057235</v>
      </c>
      <c r="M83" s="29">
        <v>0.32567084905121479</v>
      </c>
      <c r="N83" s="29">
        <v>2868.128608396134</v>
      </c>
      <c r="O83" s="29"/>
      <c r="P83" s="29"/>
    </row>
    <row r="84" spans="1:16" s="24" customFormat="1" x14ac:dyDescent="0.3">
      <c r="A84" s="24" t="s">
        <v>113</v>
      </c>
      <c r="B84" s="24">
        <f t="shared" si="4"/>
        <v>115</v>
      </c>
      <c r="C84" s="24">
        <v>82</v>
      </c>
      <c r="D84" s="25">
        <v>2217.4604174123201</v>
      </c>
      <c r="E84" s="26">
        <v>2217.46044921875</v>
      </c>
      <c r="F84" s="27">
        <f t="shared" si="7"/>
        <v>3135.9634878540037</v>
      </c>
      <c r="G84" s="28">
        <v>3075</v>
      </c>
      <c r="H84" s="27">
        <v>3075</v>
      </c>
      <c r="I84" s="24">
        <v>3</v>
      </c>
      <c r="J84" s="29">
        <f t="shared" ca="1" si="5"/>
        <v>0.29408311391066022</v>
      </c>
      <c r="K84" s="29">
        <v>0.85529069266003699</v>
      </c>
      <c r="L84" s="29">
        <v>0.81499550217740224</v>
      </c>
      <c r="M84" s="29">
        <v>0.51288849882731657</v>
      </c>
      <c r="N84" s="29">
        <v>3062.8807130598752</v>
      </c>
      <c r="O84" s="29"/>
      <c r="P84" s="29"/>
    </row>
    <row r="85" spans="1:16" s="24" customFormat="1" x14ac:dyDescent="0.3">
      <c r="A85" s="24" t="s">
        <v>114</v>
      </c>
      <c r="B85" s="24">
        <f t="shared" si="4"/>
        <v>116</v>
      </c>
      <c r="C85" s="24">
        <v>83</v>
      </c>
      <c r="D85" s="25">
        <v>2217.4604443769199</v>
      </c>
      <c r="E85" s="26">
        <v>2217.46044921875</v>
      </c>
      <c r="F85" s="27">
        <f t="shared" si="7"/>
        <v>3322.437580639571</v>
      </c>
      <c r="G85" s="28">
        <v>3285</v>
      </c>
      <c r="H85" s="27">
        <v>3285</v>
      </c>
      <c r="I85" s="24">
        <v>3</v>
      </c>
      <c r="J85" s="29">
        <f t="shared" ca="1" si="5"/>
        <v>0.76939827250740223</v>
      </c>
      <c r="K85" s="29">
        <v>0.84761148551526466</v>
      </c>
      <c r="L85" s="29">
        <v>0.19754803058005188</v>
      </c>
      <c r="M85" s="29">
        <v>3.8087411755016731E-2</v>
      </c>
      <c r="N85" s="29">
        <v>3259.6497334696382</v>
      </c>
      <c r="O85" s="29"/>
      <c r="P85" s="29"/>
    </row>
    <row r="86" spans="1:16" s="24" customFormat="1" x14ac:dyDescent="0.3">
      <c r="A86" s="24" t="s">
        <v>115</v>
      </c>
      <c r="B86" s="24">
        <f t="shared" si="4"/>
        <v>117</v>
      </c>
      <c r="C86" s="24">
        <v>84</v>
      </c>
      <c r="D86" s="25">
        <v>2217.46026782433</v>
      </c>
      <c r="E86" s="26">
        <v>2217.46020507812</v>
      </c>
      <c r="F86" s="27">
        <f t="shared" si="7"/>
        <v>3520.0000000000105</v>
      </c>
      <c r="G86" s="28">
        <v>3455</v>
      </c>
      <c r="H86" s="27">
        <v>3455</v>
      </c>
      <c r="I86" s="24">
        <v>3</v>
      </c>
      <c r="J86" s="29">
        <f t="shared" ca="1" si="5"/>
        <v>0.54218236029840072</v>
      </c>
      <c r="K86" s="29">
        <v>7.1234154753825774E-2</v>
      </c>
      <c r="L86" s="29">
        <v>0.82233242992308864</v>
      </c>
      <c r="M86" s="29">
        <v>0.86050295239688057</v>
      </c>
      <c r="N86" s="29">
        <v>3454.1176572876311</v>
      </c>
      <c r="O86" s="29"/>
      <c r="P86" s="29"/>
    </row>
    <row r="87" spans="1:16" x14ac:dyDescent="0.3">
      <c r="J87" s="4"/>
      <c r="K87" s="4"/>
      <c r="L87" s="4"/>
      <c r="M87" s="4"/>
      <c r="N87" s="4"/>
      <c r="O87" s="4"/>
      <c r="P87" s="4"/>
    </row>
  </sheetData>
  <pageMargins left="0.7" right="0.7" top="0.75" bottom="0.75" header="0.3" footer="0.3"/>
  <ignoredErrors>
    <ignoredError sqref="N2 N3:N46 N47:N7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C92-915A-4713-B28D-88E73CAD541C}">
  <dimension ref="A1:C85"/>
  <sheetViews>
    <sheetView workbookViewId="0">
      <selection activeCell="F12" sqref="F12"/>
    </sheetView>
  </sheetViews>
  <sheetFormatPr defaultRowHeight="14.4" x14ac:dyDescent="0.3"/>
  <cols>
    <col min="2" max="3" width="21" bestFit="1" customWidth="1"/>
  </cols>
  <sheetData>
    <row r="1" spans="1:3" x14ac:dyDescent="0.3">
      <c r="A1">
        <v>0</v>
      </c>
      <c r="B1" s="23">
        <v>2.84610115070944E+16</v>
      </c>
      <c r="C1" s="23">
        <v>302937068939209</v>
      </c>
    </row>
    <row r="2" spans="1:3" x14ac:dyDescent="0.3">
      <c r="A2">
        <v>1</v>
      </c>
      <c r="B2" s="23">
        <v>3356543626243240</v>
      </c>
      <c r="C2" s="23">
        <v>3398933410644530</v>
      </c>
    </row>
    <row r="3" spans="1:3" x14ac:dyDescent="0.3">
      <c r="A3">
        <v>2</v>
      </c>
      <c r="B3" s="23">
        <v>3.22444836250786E+16</v>
      </c>
      <c r="C3" s="23">
        <v>3.07800912857055E+16</v>
      </c>
    </row>
    <row r="4" spans="1:3" x14ac:dyDescent="0.3">
      <c r="A4">
        <v>3</v>
      </c>
      <c r="B4" s="23">
        <v>3.26393362828057E+16</v>
      </c>
      <c r="C4" s="23">
        <v>3.2534324645996E+16</v>
      </c>
    </row>
    <row r="5" spans="1:3" x14ac:dyDescent="0.3">
      <c r="A5">
        <v>4</v>
      </c>
      <c r="B5" s="23">
        <v>3.27227019146422E+16</v>
      </c>
      <c r="C5" s="23">
        <v>3270402526855460</v>
      </c>
    </row>
    <row r="6" spans="1:3" x14ac:dyDescent="0.3">
      <c r="A6">
        <v>5</v>
      </c>
      <c r="B6" s="23">
        <v>3654969677446720</v>
      </c>
      <c r="C6" s="23">
        <v>3650720405578610</v>
      </c>
    </row>
    <row r="7" spans="1:3" x14ac:dyDescent="0.3">
      <c r="A7">
        <v>6</v>
      </c>
      <c r="B7" s="23">
        <v>3.8820896733501504E+16</v>
      </c>
      <c r="C7" s="23">
        <v>3864669418334960</v>
      </c>
    </row>
    <row r="8" spans="1:3" x14ac:dyDescent="0.3">
      <c r="A8">
        <v>7</v>
      </c>
      <c r="B8" s="23">
        <v>4060258841337120</v>
      </c>
      <c r="C8" s="23">
        <v>4072261428833000</v>
      </c>
    </row>
    <row r="9" spans="1:3" x14ac:dyDescent="0.3">
      <c r="A9">
        <v>8</v>
      </c>
      <c r="B9" s="23">
        <v>4273343619856630</v>
      </c>
      <c r="C9" s="23">
        <v>4290213394165030</v>
      </c>
    </row>
    <row r="10" spans="1:3" x14ac:dyDescent="0.3">
      <c r="A10">
        <v>9</v>
      </c>
      <c r="B10" s="23">
        <v>4600209907153430</v>
      </c>
      <c r="C10" s="23">
        <v>460251579284668</v>
      </c>
    </row>
    <row r="11" spans="1:3" x14ac:dyDescent="0.3">
      <c r="A11">
        <v>10</v>
      </c>
      <c r="B11" s="23">
        <v>4638595989495030</v>
      </c>
      <c r="C11" s="23">
        <v>4.6516143798828096E+16</v>
      </c>
    </row>
    <row r="12" spans="1:3" x14ac:dyDescent="0.3">
      <c r="A12">
        <v>11</v>
      </c>
      <c r="B12" s="23">
        <v>5.1683609269622E+16</v>
      </c>
      <c r="C12" s="23">
        <v>5162831497192380</v>
      </c>
    </row>
    <row r="13" spans="1:3" x14ac:dyDescent="0.3">
      <c r="A13">
        <v>12</v>
      </c>
      <c r="B13" s="23">
        <v>5.45631797994996E+16</v>
      </c>
      <c r="C13" s="23">
        <v>5468308639526360</v>
      </c>
    </row>
    <row r="14" spans="1:3" x14ac:dyDescent="0.3">
      <c r="A14">
        <v>13</v>
      </c>
      <c r="B14" s="23">
        <v>5.66062486521634E+16</v>
      </c>
      <c r="C14" s="23">
        <v>5661241149902340</v>
      </c>
    </row>
    <row r="15" spans="1:3" x14ac:dyDescent="0.3">
      <c r="A15">
        <v>14</v>
      </c>
      <c r="B15" s="23">
        <v>6046137130978030</v>
      </c>
      <c r="C15" s="23">
        <v>6.0653106689453104E+16</v>
      </c>
    </row>
    <row r="16" spans="1:3" x14ac:dyDescent="0.3">
      <c r="A16">
        <v>15</v>
      </c>
      <c r="B16" s="23">
        <v>6362293758635380</v>
      </c>
      <c r="C16" s="23">
        <v>6390252685546870</v>
      </c>
    </row>
    <row r="17" spans="1:3" x14ac:dyDescent="0.3">
      <c r="A17">
        <v>16</v>
      </c>
      <c r="B17" s="23">
        <v>6748873820420600</v>
      </c>
      <c r="C17" s="23">
        <v>6769181823730460</v>
      </c>
    </row>
    <row r="18" spans="1:3" x14ac:dyDescent="0.3">
      <c r="A18">
        <v>17</v>
      </c>
      <c r="B18" s="23">
        <v>7121555778856800</v>
      </c>
      <c r="C18" s="23">
        <v>7132976531982420</v>
      </c>
    </row>
    <row r="19" spans="1:3" x14ac:dyDescent="0.3">
      <c r="A19">
        <v>18</v>
      </c>
      <c r="B19" s="23">
        <v>7549157238978780</v>
      </c>
      <c r="C19" s="23">
        <v>7560643768310540</v>
      </c>
    </row>
    <row r="20" spans="1:3" x14ac:dyDescent="0.3">
      <c r="A20">
        <v>19</v>
      </c>
      <c r="B20" s="23">
        <v>8034057889864280</v>
      </c>
      <c r="C20" s="23">
        <v>805254135131836</v>
      </c>
    </row>
    <row r="21" spans="1:3" x14ac:dyDescent="0.3">
      <c r="A21">
        <v>20</v>
      </c>
      <c r="B21" s="23">
        <v>8478677067015930</v>
      </c>
      <c r="C21" s="23">
        <v>848227310180664</v>
      </c>
    </row>
    <row r="22" spans="1:3" x14ac:dyDescent="0.3">
      <c r="A22">
        <v>21</v>
      </c>
      <c r="B22" s="23">
        <v>9015937173906650</v>
      </c>
      <c r="C22" s="23">
        <v>903798599243164</v>
      </c>
    </row>
    <row r="23" spans="1:3" x14ac:dyDescent="0.3">
      <c r="A23">
        <v>22</v>
      </c>
      <c r="B23" s="23">
        <v>9554802331708390</v>
      </c>
      <c r="C23" s="23">
        <v>9576017761230460</v>
      </c>
    </row>
    <row r="24" spans="1:3" x14ac:dyDescent="0.3">
      <c r="A24">
        <v>23</v>
      </c>
      <c r="B24" s="23">
        <v>1.01323159169224E+16</v>
      </c>
      <c r="C24" s="23">
        <v>101463134765625</v>
      </c>
    </row>
    <row r="25" spans="1:3" x14ac:dyDescent="0.3">
      <c r="A25">
        <v>24</v>
      </c>
      <c r="B25" s="23">
        <v>1.07349543359595E+16</v>
      </c>
      <c r="C25" s="23">
        <v>1.07489639282226E+16</v>
      </c>
    </row>
    <row r="26" spans="1:3" x14ac:dyDescent="0.3">
      <c r="A26">
        <v>25</v>
      </c>
      <c r="B26" s="23">
        <v>1.13665196757794E+16</v>
      </c>
      <c r="C26" s="23">
        <v>1.13878990173339E+16</v>
      </c>
    </row>
    <row r="27" spans="1:3" x14ac:dyDescent="0.3">
      <c r="A27">
        <v>26</v>
      </c>
      <c r="B27" s="23">
        <v>1.20527151675685E+16</v>
      </c>
      <c r="C27" s="23">
        <v>1.20647888183593E+16</v>
      </c>
    </row>
    <row r="28" spans="1:3" x14ac:dyDescent="0.3">
      <c r="A28">
        <v>27</v>
      </c>
      <c r="B28" s="23">
        <v>1.26906980099261E+16</v>
      </c>
      <c r="C28" s="23">
        <v>1.27106117248535E+16</v>
      </c>
    </row>
    <row r="29" spans="1:3" x14ac:dyDescent="0.3">
      <c r="A29">
        <v>28</v>
      </c>
      <c r="B29" s="23">
        <v>1.35562286723393E+16</v>
      </c>
      <c r="C29" s="23">
        <v>1.36192443847656E+16</v>
      </c>
    </row>
    <row r="30" spans="1:3" x14ac:dyDescent="0.3">
      <c r="A30">
        <v>29</v>
      </c>
      <c r="B30" s="23">
        <v>1.43245438839008E+16</v>
      </c>
      <c r="C30" s="23">
        <v>1434941177368160</v>
      </c>
    </row>
    <row r="31" spans="1:3" x14ac:dyDescent="0.3">
      <c r="A31">
        <v>30</v>
      </c>
      <c r="B31" s="23">
        <v>1.48905592670101E+16</v>
      </c>
      <c r="C31" s="23">
        <v>1.49350601196289E+16</v>
      </c>
    </row>
    <row r="32" spans="1:3" x14ac:dyDescent="0.3">
      <c r="A32">
        <v>31</v>
      </c>
      <c r="B32" s="23">
        <v>1.59043052892931E+16</v>
      </c>
      <c r="C32" s="23">
        <v>1.59629768371582E+16</v>
      </c>
    </row>
    <row r="33" spans="1:3" x14ac:dyDescent="0.3">
      <c r="A33">
        <v>32</v>
      </c>
      <c r="B33" s="23">
        <v>1687889856861630</v>
      </c>
      <c r="C33" s="23">
        <v>1.69644348144531E+16</v>
      </c>
    </row>
    <row r="34" spans="1:3" x14ac:dyDescent="0.3">
      <c r="A34">
        <v>33</v>
      </c>
      <c r="B34" s="23">
        <v>1.77275141017413E+16</v>
      </c>
      <c r="C34" s="23">
        <v>1776732940673820</v>
      </c>
    </row>
    <row r="35" spans="1:3" x14ac:dyDescent="0.3">
      <c r="A35">
        <v>34</v>
      </c>
      <c r="B35" s="23">
        <v>1.89482930554541E+16</v>
      </c>
      <c r="C35" s="23">
        <v>1904019012451170</v>
      </c>
    </row>
    <row r="36" spans="1:3" x14ac:dyDescent="0.3">
      <c r="A36">
        <v>35</v>
      </c>
      <c r="B36" s="23">
        <v>1997227642256850</v>
      </c>
      <c r="C36" s="23">
        <v>2005772247314450</v>
      </c>
    </row>
    <row r="37" spans="1:3" x14ac:dyDescent="0.3">
      <c r="A37">
        <v>36</v>
      </c>
      <c r="B37" s="23">
        <v>2.12613506546143E+16</v>
      </c>
      <c r="C37" s="23">
        <v>2.13735321044921E+16</v>
      </c>
    </row>
    <row r="38" spans="1:3" x14ac:dyDescent="0.3">
      <c r="A38">
        <v>37</v>
      </c>
      <c r="B38" s="23">
        <v>2.25407100915291E+16</v>
      </c>
      <c r="C38" s="23">
        <v>2.26460876464843E+16</v>
      </c>
    </row>
    <row r="39" spans="1:3" x14ac:dyDescent="0.3">
      <c r="A39">
        <v>38</v>
      </c>
      <c r="B39" s="23">
        <v>2.394065747778E+16</v>
      </c>
      <c r="C39" s="23">
        <v>2.39990730285644E+16</v>
      </c>
    </row>
    <row r="40" spans="1:3" x14ac:dyDescent="0.3">
      <c r="A40">
        <v>39</v>
      </c>
      <c r="B40" s="23">
        <v>2506629831056370</v>
      </c>
      <c r="C40" s="23">
        <v>2.51443443298339E+16</v>
      </c>
    </row>
    <row r="41" spans="1:3" x14ac:dyDescent="0.3">
      <c r="A41">
        <v>40</v>
      </c>
      <c r="B41" s="23">
        <v>2688549374480070</v>
      </c>
      <c r="C41" s="23">
        <v>2707604064941400</v>
      </c>
    </row>
    <row r="42" spans="1:3" x14ac:dyDescent="0.3">
      <c r="A42">
        <v>41</v>
      </c>
      <c r="B42" s="23">
        <v>2810441083281550</v>
      </c>
      <c r="C42" s="23">
        <v>282017822265625</v>
      </c>
    </row>
    <row r="43" spans="1:3" x14ac:dyDescent="0.3">
      <c r="A43">
        <v>42</v>
      </c>
      <c r="B43" s="23">
        <v>2988816164408680</v>
      </c>
      <c r="C43" s="23">
        <v>3005947723388670</v>
      </c>
    </row>
    <row r="44" spans="1:3" x14ac:dyDescent="0.3">
      <c r="A44">
        <v>43</v>
      </c>
      <c r="B44" s="23">
        <v>3.11438703083914E+16</v>
      </c>
      <c r="C44" s="23">
        <v>3.12967956542968E+16</v>
      </c>
    </row>
    <row r="45" spans="1:3" x14ac:dyDescent="0.3">
      <c r="A45">
        <v>44</v>
      </c>
      <c r="B45" s="23">
        <v>3.3809395069245E+16</v>
      </c>
      <c r="C45" s="23">
        <v>3411261291503900</v>
      </c>
    </row>
    <row r="46" spans="1:3" x14ac:dyDescent="0.3">
      <c r="A46">
        <v>45</v>
      </c>
      <c r="B46" s="23">
        <v>3.57685856183369E+16</v>
      </c>
      <c r="C46" s="23">
        <v>3.59423645019531E+16</v>
      </c>
    </row>
    <row r="47" spans="1:3" x14ac:dyDescent="0.3">
      <c r="A47">
        <v>46</v>
      </c>
      <c r="B47" s="23">
        <v>3799419929090820</v>
      </c>
      <c r="C47" s="23">
        <v>3.8088848876953104E+16</v>
      </c>
    </row>
    <row r="48" spans="1:3" x14ac:dyDescent="0.3">
      <c r="A48">
        <v>47</v>
      </c>
      <c r="B48" s="23">
        <v>4.00504885492972E+16</v>
      </c>
      <c r="C48" s="23">
        <v>4013431396484370</v>
      </c>
    </row>
    <row r="49" spans="1:3" x14ac:dyDescent="0.3">
      <c r="A49">
        <v>48</v>
      </c>
      <c r="B49" s="23">
        <v>4211817165646350</v>
      </c>
      <c r="C49" s="23">
        <v>422569091796875</v>
      </c>
    </row>
    <row r="50" spans="1:3" x14ac:dyDescent="0.3">
      <c r="A50">
        <v>49</v>
      </c>
      <c r="B50" s="23">
        <v>4.46756477361898E+16</v>
      </c>
      <c r="C50" s="23">
        <v>4.50223815917968E+16</v>
      </c>
    </row>
    <row r="51" spans="1:3" x14ac:dyDescent="0.3">
      <c r="A51">
        <v>50</v>
      </c>
      <c r="B51" s="23">
        <v>4767848343776500</v>
      </c>
      <c r="C51" s="23">
        <v>4783959655761710</v>
      </c>
    </row>
    <row r="52" spans="1:3" x14ac:dyDescent="0.3">
      <c r="A52">
        <v>51</v>
      </c>
      <c r="B52" s="23">
        <v>502944324093918</v>
      </c>
      <c r="C52" s="23">
        <v>5053304748535150</v>
      </c>
    </row>
    <row r="53" spans="1:3" x14ac:dyDescent="0.3">
      <c r="A53">
        <v>52</v>
      </c>
      <c r="B53" s="23">
        <v>515406202324</v>
      </c>
      <c r="C53" s="23">
        <v>5172646179199210</v>
      </c>
    </row>
    <row r="54" spans="1:3" x14ac:dyDescent="0.3">
      <c r="A54">
        <v>53</v>
      </c>
      <c r="B54" s="23">
        <v>5459524332169960</v>
      </c>
      <c r="C54" s="23">
        <v>5481640625</v>
      </c>
    </row>
    <row r="55" spans="1:3" x14ac:dyDescent="0.3">
      <c r="A55">
        <v>54</v>
      </c>
      <c r="B55" s="23">
        <v>5907064959742100</v>
      </c>
      <c r="C55" s="23">
        <v>5943293151855460</v>
      </c>
    </row>
    <row r="56" spans="1:3" x14ac:dyDescent="0.3">
      <c r="A56">
        <v>55</v>
      </c>
      <c r="B56" s="23">
        <v>6298638688028820</v>
      </c>
      <c r="C56" s="23">
        <v>6328535766601560</v>
      </c>
    </row>
    <row r="57" spans="1:3" x14ac:dyDescent="0.3">
      <c r="A57">
        <v>56</v>
      </c>
      <c r="B57" s="23">
        <v>6641791831464050</v>
      </c>
      <c r="C57" s="23">
        <v>6673604736328120</v>
      </c>
    </row>
    <row r="58" spans="1:3" x14ac:dyDescent="0.3">
      <c r="A58">
        <v>57</v>
      </c>
      <c r="B58" s="23">
        <v>7048781096510580</v>
      </c>
      <c r="C58" s="23">
        <v>7066528930664060</v>
      </c>
    </row>
    <row r="59" spans="1:3" x14ac:dyDescent="0.3">
      <c r="A59">
        <v>58</v>
      </c>
      <c r="B59" s="23">
        <v>7465260852742000</v>
      </c>
      <c r="C59" s="23">
        <v>7486408081054680</v>
      </c>
    </row>
    <row r="60" spans="1:3" x14ac:dyDescent="0.3">
      <c r="A60">
        <v>59</v>
      </c>
      <c r="B60" s="23">
        <v>7982980938272560</v>
      </c>
      <c r="C60" s="23">
        <v>8023562927246090</v>
      </c>
    </row>
    <row r="61" spans="1:3" x14ac:dyDescent="0.3">
      <c r="A61">
        <v>60</v>
      </c>
      <c r="B61" s="23">
        <v>8477684923869500</v>
      </c>
      <c r="C61" s="23">
        <v>8498518676757810</v>
      </c>
    </row>
    <row r="62" spans="1:3" x14ac:dyDescent="0.3">
      <c r="A62">
        <v>61</v>
      </c>
      <c r="B62" s="23">
        <v>9008783274838830</v>
      </c>
      <c r="C62" s="23">
        <v>9050813903808590</v>
      </c>
    </row>
    <row r="63" spans="1:3" x14ac:dyDescent="0.3">
      <c r="A63">
        <v>62</v>
      </c>
      <c r="B63" s="23">
        <v>9380107960975670</v>
      </c>
      <c r="C63" s="23">
        <v>9427661743164060</v>
      </c>
    </row>
    <row r="64" spans="1:3" x14ac:dyDescent="0.3">
      <c r="A64">
        <v>63</v>
      </c>
      <c r="B64" s="23">
        <v>1016305562568710</v>
      </c>
      <c r="C64" s="23">
        <v>1.01683023071289E+16</v>
      </c>
    </row>
    <row r="65" spans="1:3" x14ac:dyDescent="0.3">
      <c r="A65">
        <v>64</v>
      </c>
      <c r="B65" s="23">
        <v>1062478216626180</v>
      </c>
      <c r="C65" s="23">
        <v>1064786376953120</v>
      </c>
    </row>
    <row r="66" spans="1:3" x14ac:dyDescent="0.3">
      <c r="A66">
        <v>65</v>
      </c>
      <c r="B66" s="23">
        <v>1.13452713538358E+16</v>
      </c>
      <c r="C66" s="23">
        <v>1.12865643310546E+16</v>
      </c>
    </row>
    <row r="67" spans="1:3" x14ac:dyDescent="0.3">
      <c r="A67">
        <v>66</v>
      </c>
      <c r="B67" s="23">
        <v>1.20072759153989E+16</v>
      </c>
      <c r="C67" s="23">
        <v>1.20079827880859E+16</v>
      </c>
    </row>
    <row r="68" spans="1:3" x14ac:dyDescent="0.3">
      <c r="A68">
        <v>67</v>
      </c>
      <c r="B68" s="23">
        <v>1294815725109260</v>
      </c>
      <c r="C68" s="23">
        <v>1.28314276123046E+16</v>
      </c>
    </row>
    <row r="69" spans="1:3" x14ac:dyDescent="0.3">
      <c r="A69">
        <v>68</v>
      </c>
      <c r="B69" s="23">
        <v>1.34377235619998E+16</v>
      </c>
      <c r="C69" s="23">
        <v>1341029541015620</v>
      </c>
    </row>
    <row r="70" spans="1:3" x14ac:dyDescent="0.3">
      <c r="A70">
        <v>69</v>
      </c>
      <c r="B70" s="23">
        <v>1443043466555640</v>
      </c>
      <c r="C70" s="23">
        <v>1.44212908935546E+16</v>
      </c>
    </row>
    <row r="71" spans="1:3" x14ac:dyDescent="0.3">
      <c r="A71">
        <v>70</v>
      </c>
      <c r="B71" s="23">
        <v>1.53374407579119E+16</v>
      </c>
      <c r="C71" s="23">
        <v>1.5324273071289E+16</v>
      </c>
    </row>
    <row r="72" spans="1:3" x14ac:dyDescent="0.3">
      <c r="A72">
        <v>71</v>
      </c>
      <c r="B72" s="23">
        <v>1.54600403588921E+16</v>
      </c>
      <c r="C72" s="23">
        <v>1.60913317871093E+16</v>
      </c>
    </row>
    <row r="73" spans="1:3" x14ac:dyDescent="0.3">
      <c r="A73">
        <v>72</v>
      </c>
      <c r="B73" s="23">
        <v>596112441925555</v>
      </c>
      <c r="C73" s="23">
        <v>5315197143554680</v>
      </c>
    </row>
    <row r="74" spans="1:3" x14ac:dyDescent="0.3">
      <c r="A74">
        <v>73</v>
      </c>
      <c r="B74" s="23">
        <v>1.79466741458436E+16</v>
      </c>
      <c r="C74" s="23">
        <v>1.82851544189453E+16</v>
      </c>
    </row>
    <row r="75" spans="1:3" x14ac:dyDescent="0.3">
      <c r="A75">
        <v>74</v>
      </c>
      <c r="B75" s="23">
        <v>1.97243525204087E+16</v>
      </c>
      <c r="C75" s="23">
        <v>1.9873062133789E+16</v>
      </c>
    </row>
    <row r="76" spans="1:3" x14ac:dyDescent="0.3">
      <c r="A76">
        <v>75</v>
      </c>
      <c r="B76" s="23">
        <v>2.02686722424825E+16</v>
      </c>
      <c r="C76" s="23">
        <v>2019159912109370</v>
      </c>
    </row>
    <row r="77" spans="1:3" x14ac:dyDescent="0.3">
      <c r="A77">
        <v>76</v>
      </c>
      <c r="B77" s="23">
        <v>2.19416237548038E+16</v>
      </c>
      <c r="C77" s="23">
        <v>2.19442956542968E+16</v>
      </c>
    </row>
    <row r="78" spans="1:3" x14ac:dyDescent="0.3">
      <c r="A78">
        <v>77</v>
      </c>
      <c r="B78" s="23">
        <v>221746046828236</v>
      </c>
      <c r="C78" s="23">
        <v>221746044921875</v>
      </c>
    </row>
    <row r="79" spans="1:3" x14ac:dyDescent="0.3">
      <c r="A79">
        <v>78</v>
      </c>
      <c r="B79" s="23">
        <v>2.21746045441612E+16</v>
      </c>
      <c r="C79" s="23">
        <v>221746044921875</v>
      </c>
    </row>
    <row r="80" spans="1:3" x14ac:dyDescent="0.3">
      <c r="A80">
        <v>79</v>
      </c>
      <c r="B80" s="23">
        <v>2.21746044787558E+16</v>
      </c>
      <c r="C80" s="23">
        <v>221746044921875</v>
      </c>
    </row>
    <row r="81" spans="1:3" x14ac:dyDescent="0.3">
      <c r="A81">
        <v>80</v>
      </c>
      <c r="B81" s="23">
        <v>2217460451495220</v>
      </c>
      <c r="C81" s="23">
        <v>221746044921875</v>
      </c>
    </row>
    <row r="82" spans="1:3" x14ac:dyDescent="0.3">
      <c r="A82">
        <v>81</v>
      </c>
      <c r="B82" s="23">
        <v>2217460411358180</v>
      </c>
      <c r="C82" s="23">
        <v>221746044921875</v>
      </c>
    </row>
    <row r="83" spans="1:3" x14ac:dyDescent="0.3">
      <c r="A83">
        <v>82</v>
      </c>
      <c r="B83" s="23">
        <v>2217460417412320</v>
      </c>
      <c r="C83" s="23">
        <v>221746044921875</v>
      </c>
    </row>
    <row r="84" spans="1:3" x14ac:dyDescent="0.3">
      <c r="A84">
        <v>83</v>
      </c>
      <c r="B84" s="23">
        <v>2217460444376920</v>
      </c>
      <c r="C84" s="23">
        <v>221746044921875</v>
      </c>
    </row>
    <row r="85" spans="1:3" x14ac:dyDescent="0.3">
      <c r="A85">
        <v>84</v>
      </c>
      <c r="B85" s="23">
        <v>2.21746026782433E+16</v>
      </c>
      <c r="C85" s="23">
        <v>2217460205078120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keynotes</vt:lpstr>
      <vt:lpstr>pitch tracking results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Ascari</dc:creator>
  <cp:lastModifiedBy>Giacomo Ascari</cp:lastModifiedBy>
  <dcterms:created xsi:type="dcterms:W3CDTF">2015-06-05T18:19:34Z</dcterms:created>
  <dcterms:modified xsi:type="dcterms:W3CDTF">2024-03-31T17:45:11Z</dcterms:modified>
</cp:coreProperties>
</file>