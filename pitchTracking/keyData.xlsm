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como\Desktop\smc8-pm-project\pitchTracking\"/>
    </mc:Choice>
  </mc:AlternateContent>
  <xr:revisionPtr revIDLastSave="0" documentId="13_ncr:1_{D5DA48E1-5CD9-4922-A943-5A71D67D618B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pitch tracking results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3" i="2" l="1"/>
  <c r="Q33" i="2" s="1"/>
  <c r="N34" i="2"/>
  <c r="N35" i="2"/>
  <c r="N36" i="2"/>
  <c r="Q36" i="2" s="1"/>
  <c r="N37" i="2"/>
  <c r="Q37" i="2" s="1"/>
  <c r="N38" i="2"/>
  <c r="Q38" i="2" s="1"/>
  <c r="N39" i="2"/>
  <c r="N40" i="2"/>
  <c r="N41" i="2"/>
  <c r="N42" i="2"/>
  <c r="N43" i="2"/>
  <c r="N44" i="2"/>
  <c r="Q44" i="2" s="1"/>
  <c r="N45" i="2"/>
  <c r="Q45" i="2" s="1"/>
  <c r="N46" i="2"/>
  <c r="Q46" i="2" s="1"/>
  <c r="N47" i="2"/>
  <c r="Q47" i="2" s="1"/>
  <c r="N48" i="2"/>
  <c r="Q48" i="2" s="1"/>
  <c r="N49" i="2"/>
  <c r="Q49" i="2" s="1"/>
  <c r="N50" i="2"/>
  <c r="N51" i="2"/>
  <c r="N52" i="2"/>
  <c r="Q52" i="2" s="1"/>
  <c r="N53" i="2"/>
  <c r="Q53" i="2" s="1"/>
  <c r="N54" i="2"/>
  <c r="Q54" i="2" s="1"/>
  <c r="N55" i="2"/>
  <c r="N56" i="2"/>
  <c r="N57" i="2"/>
  <c r="Q57" i="2" s="1"/>
  <c r="N58" i="2"/>
  <c r="Q58" i="2" s="1"/>
  <c r="N59" i="2"/>
  <c r="N60" i="2"/>
  <c r="N61" i="2"/>
  <c r="N62" i="2"/>
  <c r="Q62" i="2" s="1"/>
  <c r="N63" i="2"/>
  <c r="Q63" i="2" s="1"/>
  <c r="N64" i="2"/>
  <c r="Q64" i="2" s="1"/>
  <c r="N65" i="2"/>
  <c r="Q65" i="2" s="1"/>
  <c r="N66" i="2"/>
  <c r="N67" i="2"/>
  <c r="N68" i="2"/>
  <c r="N69" i="2"/>
  <c r="Q69" i="2" s="1"/>
  <c r="N70" i="2"/>
  <c r="Q70" i="2" s="1"/>
  <c r="N71" i="2"/>
  <c r="N72" i="2"/>
  <c r="N73" i="2"/>
  <c r="N74" i="2"/>
  <c r="N75" i="2"/>
  <c r="N76" i="2"/>
  <c r="N77" i="2"/>
  <c r="Q77" i="2" s="1"/>
  <c r="N78" i="2"/>
  <c r="N79" i="2"/>
  <c r="N80" i="2"/>
  <c r="Q80" i="2" s="1"/>
  <c r="N81" i="2"/>
  <c r="Q81" i="2" s="1"/>
  <c r="N82" i="2"/>
  <c r="N83" i="2"/>
  <c r="N84" i="2"/>
  <c r="Q84" i="2" s="1"/>
  <c r="N85" i="2"/>
  <c r="Q85" i="2" s="1"/>
  <c r="N86" i="2"/>
  <c r="Q86" i="2" s="1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P47" i="2" s="1"/>
  <c r="M48" i="2"/>
  <c r="P48" i="2" s="1"/>
  <c r="M49" i="2"/>
  <c r="M50" i="2"/>
  <c r="M51" i="2"/>
  <c r="M52" i="2"/>
  <c r="M53" i="2"/>
  <c r="M54" i="2"/>
  <c r="M55" i="2"/>
  <c r="P55" i="2" s="1"/>
  <c r="M56" i="2"/>
  <c r="M57" i="2"/>
  <c r="M58" i="2"/>
  <c r="M59" i="2"/>
  <c r="M60" i="2"/>
  <c r="M61" i="2"/>
  <c r="M62" i="2"/>
  <c r="P62" i="2" s="1"/>
  <c r="M63" i="2"/>
  <c r="P63" i="2" s="1"/>
  <c r="M64" i="2"/>
  <c r="P64" i="2" s="1"/>
  <c r="M65" i="2"/>
  <c r="M66" i="2"/>
  <c r="M67" i="2"/>
  <c r="M68" i="2"/>
  <c r="M69" i="2"/>
  <c r="M70" i="2"/>
  <c r="M71" i="2"/>
  <c r="M72" i="2"/>
  <c r="M73" i="2"/>
  <c r="M74" i="2"/>
  <c r="M75" i="2"/>
  <c r="P75" i="2" s="1"/>
  <c r="M76" i="2"/>
  <c r="P76" i="2" s="1"/>
  <c r="M77" i="2"/>
  <c r="P77" i="2" s="1"/>
  <c r="M78" i="2"/>
  <c r="P78" i="2" s="1"/>
  <c r="M79" i="2"/>
  <c r="P79" i="2" s="1"/>
  <c r="M80" i="2"/>
  <c r="P80" i="2" s="1"/>
  <c r="M81" i="2"/>
  <c r="M82" i="2"/>
  <c r="M83" i="2"/>
  <c r="M84" i="2"/>
  <c r="M85" i="2"/>
  <c r="P85" i="2" s="1"/>
  <c r="M86" i="2"/>
  <c r="N32" i="2"/>
  <c r="M32" i="2"/>
  <c r="M15" i="2"/>
  <c r="M16" i="2"/>
  <c r="M17" i="2"/>
  <c r="M18" i="2"/>
  <c r="M19" i="2"/>
  <c r="M20" i="2"/>
  <c r="P20" i="2" s="1"/>
  <c r="M21" i="2"/>
  <c r="M22" i="2"/>
  <c r="M23" i="2"/>
  <c r="M24" i="2"/>
  <c r="P24" i="2" s="1"/>
  <c r="M25" i="2"/>
  <c r="P25" i="2" s="1"/>
  <c r="M26" i="2"/>
  <c r="M27" i="2"/>
  <c r="P27" i="2" s="1"/>
  <c r="M28" i="2"/>
  <c r="M30" i="2"/>
  <c r="M31" i="2"/>
  <c r="M29" i="2"/>
  <c r="P53" i="2"/>
  <c r="P58" i="2"/>
  <c r="P59" i="2"/>
  <c r="P60" i="2"/>
  <c r="P61" i="2"/>
  <c r="P68" i="2"/>
  <c r="Q34" i="2"/>
  <c r="Q35" i="2"/>
  <c r="Q51" i="2"/>
  <c r="Q67" i="2"/>
  <c r="Q78" i="2"/>
  <c r="Q79" i="2"/>
  <c r="Q82" i="2"/>
  <c r="Q83" i="2"/>
  <c r="P26" i="2"/>
  <c r="P32" i="2"/>
  <c r="P31" i="2"/>
  <c r="P30" i="2"/>
  <c r="P29" i="2"/>
  <c r="P28" i="2"/>
  <c r="P15" i="2"/>
  <c r="P16" i="2"/>
  <c r="P17" i="2"/>
  <c r="P18" i="2"/>
  <c r="P21" i="2"/>
  <c r="P22" i="2"/>
  <c r="P23" i="2"/>
  <c r="Q32" i="2"/>
  <c r="Q39" i="2"/>
  <c r="Q40" i="2"/>
  <c r="Q41" i="2"/>
  <c r="Q42" i="2"/>
  <c r="Q43" i="2"/>
  <c r="P49" i="2"/>
  <c r="P50" i="2"/>
  <c r="Q50" i="2"/>
  <c r="P51" i="2"/>
  <c r="P54" i="2"/>
  <c r="Q55" i="2"/>
  <c r="P56" i="2"/>
  <c r="Q56" i="2"/>
  <c r="P57" i="2"/>
  <c r="Q59" i="2"/>
  <c r="Q60" i="2"/>
  <c r="Q61" i="2"/>
  <c r="P65" i="2"/>
  <c r="P66" i="2"/>
  <c r="Q66" i="2"/>
  <c r="P67" i="2"/>
  <c r="Q68" i="2"/>
  <c r="P69" i="2"/>
  <c r="P70" i="2"/>
  <c r="Q71" i="2"/>
  <c r="P72" i="2"/>
  <c r="Q72" i="2"/>
  <c r="P73" i="2"/>
  <c r="Q73" i="2"/>
  <c r="Q75" i="2"/>
  <c r="Q76" i="2"/>
  <c r="P81" i="2"/>
  <c r="P82" i="2"/>
  <c r="P83" i="2"/>
  <c r="P84" i="2"/>
  <c r="P86" i="2"/>
  <c r="P52" i="2"/>
  <c r="P71" i="2"/>
  <c r="P19" i="2"/>
  <c r="P41" i="2" l="1"/>
  <c r="P40" i="2"/>
  <c r="P44" i="2"/>
  <c r="P46" i="2"/>
  <c r="P42" i="2"/>
  <c r="P45" i="2"/>
  <c r="P38" i="2"/>
  <c r="P43" i="2"/>
  <c r="P35" i="2"/>
  <c r="P36" i="2"/>
  <c r="P34" i="2"/>
  <c r="P39" i="2"/>
  <c r="P37" i="2"/>
  <c r="P33" i="2"/>
  <c r="Q74" i="2"/>
  <c r="D3" i="2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2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D81" i="2" l="1"/>
  <c r="D82" i="2" s="1"/>
  <c r="D83" i="2" s="1"/>
  <c r="D84" i="2" s="1"/>
  <c r="D85" i="2" s="1"/>
  <c r="D86" i="2" s="1"/>
</calcChain>
</file>

<file path=xl/sharedStrings.xml><?xml version="1.0" encoding="utf-8"?>
<sst xmlns="http://schemas.openxmlformats.org/spreadsheetml/2006/main" count="108" uniqueCount="108">
  <si>
    <t>A0</t>
  </si>
  <si>
    <t>A#0</t>
  </si>
  <si>
    <t>B0</t>
  </si>
  <si>
    <t>C1</t>
  </si>
  <si>
    <t>C#1</t>
  </si>
  <si>
    <t>D1</t>
  </si>
  <si>
    <t>D#1</t>
  </si>
  <si>
    <t>E1</t>
  </si>
  <si>
    <t>F1</t>
  </si>
  <si>
    <t>F#1</t>
  </si>
  <si>
    <t>G1</t>
  </si>
  <si>
    <t>G#1</t>
  </si>
  <si>
    <t>A1</t>
  </si>
  <si>
    <t>A#1</t>
  </si>
  <si>
    <t>B1</t>
  </si>
  <si>
    <t>C2</t>
  </si>
  <si>
    <t>C#2</t>
  </si>
  <si>
    <t>D2</t>
  </si>
  <si>
    <t>D#2</t>
  </si>
  <si>
    <t>E2</t>
  </si>
  <si>
    <t>F2</t>
  </si>
  <si>
    <t>F#2</t>
  </si>
  <si>
    <t>G2</t>
  </si>
  <si>
    <t>G#2</t>
  </si>
  <si>
    <t>A2</t>
  </si>
  <si>
    <t>A#2</t>
  </si>
  <si>
    <t>B2</t>
  </si>
  <si>
    <t>C3</t>
  </si>
  <si>
    <t>C#3</t>
  </si>
  <si>
    <t>D3</t>
  </si>
  <si>
    <t>D#3</t>
  </si>
  <si>
    <t>E3</t>
  </si>
  <si>
    <t>F3</t>
  </si>
  <si>
    <t>F#3</t>
  </si>
  <si>
    <t>G3</t>
  </si>
  <si>
    <t>G#3</t>
  </si>
  <si>
    <t>A3</t>
  </si>
  <si>
    <t>A#3</t>
  </si>
  <si>
    <t>B3</t>
  </si>
  <si>
    <t>C4</t>
  </si>
  <si>
    <t>C#4</t>
  </si>
  <si>
    <t>D4</t>
  </si>
  <si>
    <t>D#4</t>
  </si>
  <si>
    <t>E4</t>
  </si>
  <si>
    <t>F4</t>
  </si>
  <si>
    <t>F#4</t>
  </si>
  <si>
    <t>G4</t>
  </si>
  <si>
    <t>G#4</t>
  </si>
  <si>
    <t>A4</t>
  </si>
  <si>
    <t>A#4</t>
  </si>
  <si>
    <t>B4</t>
  </si>
  <si>
    <t>C5</t>
  </si>
  <si>
    <t>C#5</t>
  </si>
  <si>
    <t>D5</t>
  </si>
  <si>
    <t>D#5</t>
  </si>
  <si>
    <t>E5</t>
  </si>
  <si>
    <t>F5</t>
  </si>
  <si>
    <t>F#5</t>
  </si>
  <si>
    <t>G5</t>
  </si>
  <si>
    <t>G#5</t>
  </si>
  <si>
    <t>A5</t>
  </si>
  <si>
    <t>A#5</t>
  </si>
  <si>
    <t>B5</t>
  </si>
  <si>
    <t>C6</t>
  </si>
  <si>
    <t>C#6</t>
  </si>
  <si>
    <t>D6</t>
  </si>
  <si>
    <t>D#6</t>
  </si>
  <si>
    <t>E6</t>
  </si>
  <si>
    <t>F6</t>
  </si>
  <si>
    <t>F#6</t>
  </si>
  <si>
    <t>G6</t>
  </si>
  <si>
    <t>G#6</t>
  </si>
  <si>
    <t>A6</t>
  </si>
  <si>
    <t>A#6</t>
  </si>
  <si>
    <t>B6</t>
  </si>
  <si>
    <t>C7</t>
  </si>
  <si>
    <t>C#7</t>
  </si>
  <si>
    <t>D7</t>
  </si>
  <si>
    <t>D#7</t>
  </si>
  <si>
    <t>E7</t>
  </si>
  <si>
    <t>F7</t>
  </si>
  <si>
    <t>F#7</t>
  </si>
  <si>
    <t>G7</t>
  </si>
  <si>
    <t>G#7</t>
  </si>
  <si>
    <t>A7</t>
  </si>
  <si>
    <t>Note</t>
  </si>
  <si>
    <t>MIDI note</t>
  </si>
  <si>
    <t>Average</t>
  </si>
  <si>
    <t>Median</t>
  </si>
  <si>
    <t>By ear</t>
  </si>
  <si>
    <t>Strings</t>
  </si>
  <si>
    <t>Random</t>
  </si>
  <si>
    <t>Used 1</t>
  </si>
  <si>
    <t>Used 2</t>
  </si>
  <si>
    <t>Used 3</t>
  </si>
  <si>
    <t>Theoretical [Hz]</t>
  </si>
  <si>
    <t>Index</t>
  </si>
  <si>
    <t>Notes</t>
  </si>
  <si>
    <t>Manual</t>
  </si>
  <si>
    <t>Static r. sign</t>
  </si>
  <si>
    <t>Static r. s2</t>
  </si>
  <si>
    <t>Static r. s3</t>
  </si>
  <si>
    <t>Dev. 3</t>
  </si>
  <si>
    <t>Dev. 2</t>
  </si>
  <si>
    <t>Constants</t>
  </si>
  <si>
    <t>Min cent deviation</t>
  </si>
  <si>
    <t>Max cent deviation</t>
  </si>
  <si>
    <t>Dampener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</si>
</sst>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2" fontId="0" fillId="0" borderId="1" xfId="0" applyNumberFormat="1" applyBorder="1"/>
    <xf numFmtId="2" fontId="1" fillId="0" borderId="1" xfId="0" applyNumberFormat="1" applyFont="1" applyBorder="1"/>
    <xf numFmtId="2" fontId="3" fillId="0" borderId="1" xfId="0" applyNumberFormat="1" applyFont="1" applyBorder="1"/>
    <xf numFmtId="2" fontId="4" fillId="0" borderId="1" xfId="0" applyNumberFormat="1" applyFont="1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3" fillId="0" borderId="0" xfId="0" applyNumberFormat="1" applyFont="1"/>
    <xf numFmtId="0" fontId="6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47625</xdr:rowOff>
        </xdr:from>
        <xdr:to>
          <xdr:col>21</xdr:col>
          <xdr:colOff>571500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59DFE-7F75-4DF4-B32D-CE7E758F39E4}">
  <sheetPr codeName="Foglio2"/>
  <dimension ref="A1:V87"/>
  <sheetViews>
    <sheetView tabSelected="1" zoomScale="120" zoomScaleNormal="120" workbookViewId="0">
      <pane ySplit="1" topLeftCell="A2" activePane="bottomLeft" state="frozen"/>
      <selection pane="bottomLeft" activeCell="T32" sqref="T32"/>
    </sheetView>
  </sheetViews>
  <sheetFormatPr defaultColWidth="9.140625" defaultRowHeight="15" x14ac:dyDescent="0.25"/>
  <cols>
    <col min="1" max="1" width="6.7109375" customWidth="1"/>
    <col min="2" max="2" width="9.85546875" bestFit="1" customWidth="1"/>
    <col min="3" max="3" width="7.28515625" customWidth="1"/>
    <col min="4" max="4" width="16" bestFit="1" customWidth="1"/>
    <col min="5" max="6" width="11.5703125" bestFit="1" customWidth="1"/>
    <col min="9" max="9" width="9.28515625" bestFit="1" customWidth="1"/>
    <col min="10" max="10" width="12.7109375" bestFit="1" customWidth="1"/>
    <col min="11" max="12" width="10.85546875" bestFit="1" customWidth="1"/>
    <col min="13" max="14" width="9.140625" customWidth="1"/>
    <col min="15" max="15" width="10.28515625" bestFit="1" customWidth="1"/>
    <col min="16" max="17" width="9.28515625" bestFit="1" customWidth="1"/>
    <col min="18" max="18" width="11.28515625" bestFit="1" customWidth="1"/>
    <col min="20" max="20" width="10.7109375" bestFit="1" customWidth="1"/>
  </cols>
  <sheetData>
    <row r="1" spans="1:21" s="9" customFormat="1" ht="18" customHeight="1" x14ac:dyDescent="0.25">
      <c r="A1" s="8" t="s">
        <v>85</v>
      </c>
      <c r="B1" s="8" t="s">
        <v>86</v>
      </c>
      <c r="C1" s="8" t="s">
        <v>96</v>
      </c>
      <c r="D1" s="8" t="s">
        <v>95</v>
      </c>
      <c r="E1" s="8" t="s">
        <v>87</v>
      </c>
      <c r="F1" s="8" t="s">
        <v>88</v>
      </c>
      <c r="G1" s="8" t="s">
        <v>89</v>
      </c>
      <c r="H1" s="8" t="s">
        <v>90</v>
      </c>
      <c r="I1" s="8" t="s">
        <v>91</v>
      </c>
      <c r="J1" s="8" t="s">
        <v>99</v>
      </c>
      <c r="K1" s="8" t="s">
        <v>100</v>
      </c>
      <c r="L1" s="8" t="s">
        <v>101</v>
      </c>
      <c r="M1" s="8" t="s">
        <v>103</v>
      </c>
      <c r="N1" s="8" t="s">
        <v>102</v>
      </c>
      <c r="O1" s="8" t="s">
        <v>92</v>
      </c>
      <c r="P1" s="8" t="s">
        <v>93</v>
      </c>
      <c r="Q1" s="8" t="s">
        <v>94</v>
      </c>
      <c r="R1" s="8" t="s">
        <v>107</v>
      </c>
      <c r="S1" s="10" t="s">
        <v>97</v>
      </c>
      <c r="T1" s="8" t="s">
        <v>104</v>
      </c>
    </row>
    <row r="2" spans="1:21" x14ac:dyDescent="0.25">
      <c r="A2" t="s">
        <v>0</v>
      </c>
      <c r="B2">
        <f>C2+33</f>
        <v>33</v>
      </c>
      <c r="C2">
        <v>0</v>
      </c>
      <c r="D2" s="1">
        <v>27.5</v>
      </c>
      <c r="E2" s="1">
        <v>28.461011507094401</v>
      </c>
      <c r="F2" s="1">
        <v>30.293706893920898</v>
      </c>
      <c r="G2" s="1"/>
      <c r="H2">
        <v>1</v>
      </c>
      <c r="I2" s="1">
        <f ca="1">RAND()</f>
        <v>0.41333795948093999</v>
      </c>
      <c r="J2" s="1">
        <v>0.84478255039968908</v>
      </c>
      <c r="K2" s="1">
        <v>0.75527393303156953</v>
      </c>
      <c r="L2" s="1">
        <v>8.8203583278534947E-2</v>
      </c>
      <c r="M2" s="11">
        <v>0</v>
      </c>
      <c r="N2" s="11">
        <v>0</v>
      </c>
      <c r="O2" s="4">
        <v>30.293706893920898</v>
      </c>
      <c r="P2" s="6">
        <v>0</v>
      </c>
      <c r="Q2" s="6">
        <v>0</v>
      </c>
      <c r="R2" s="6" t="b">
        <v>1</v>
      </c>
      <c r="T2">
        <v>7</v>
      </c>
      <c r="U2" t="s">
        <v>105</v>
      </c>
    </row>
    <row r="3" spans="1:21" x14ac:dyDescent="0.25">
      <c r="A3" t="s">
        <v>1</v>
      </c>
      <c r="B3">
        <f t="shared" ref="B3:B66" si="0">C3+33</f>
        <v>34</v>
      </c>
      <c r="C3">
        <v>1</v>
      </c>
      <c r="D3" s="1">
        <f>D2*POWER(2,1/12)</f>
        <v>29.13523509488062</v>
      </c>
      <c r="E3" s="1">
        <v>33.565436262432399</v>
      </c>
      <c r="F3" s="1">
        <v>33.989334106445298</v>
      </c>
      <c r="G3" s="1"/>
      <c r="H3">
        <v>1</v>
      </c>
      <c r="I3" s="1">
        <f t="shared" ref="I3:I66" ca="1" si="1">RAND()</f>
        <v>0.57711092276533538</v>
      </c>
      <c r="J3" s="1">
        <v>9.5376401867727334E-2</v>
      </c>
      <c r="K3" s="1">
        <v>0.69182351711943824</v>
      </c>
      <c r="L3" s="1">
        <v>0.76345173474239558</v>
      </c>
      <c r="M3" s="11">
        <v>0</v>
      </c>
      <c r="N3" s="11">
        <v>0</v>
      </c>
      <c r="O3" s="4">
        <v>33.989334106445298</v>
      </c>
      <c r="P3" s="6">
        <v>0</v>
      </c>
      <c r="Q3" s="6">
        <v>0</v>
      </c>
      <c r="R3" s="6" t="b">
        <v>1</v>
      </c>
      <c r="T3">
        <v>20</v>
      </c>
      <c r="U3" t="s">
        <v>106</v>
      </c>
    </row>
    <row r="4" spans="1:21" x14ac:dyDescent="0.25">
      <c r="A4" t="s">
        <v>2</v>
      </c>
      <c r="B4">
        <f t="shared" si="0"/>
        <v>35</v>
      </c>
      <c r="C4">
        <v>2</v>
      </c>
      <c r="D4" s="1">
        <f t="shared" ref="D4:D67" si="2">D3*POWER(2,1/12)</f>
        <v>30.867706328507758</v>
      </c>
      <c r="E4" s="1">
        <v>32.244483625078601</v>
      </c>
      <c r="F4" s="1">
        <v>30.780091285705499</v>
      </c>
      <c r="G4" s="1"/>
      <c r="H4">
        <v>1</v>
      </c>
      <c r="I4" s="1">
        <f t="shared" ca="1" si="1"/>
        <v>0.76298292150219182</v>
      </c>
      <c r="J4" s="1">
        <v>0.92406946114126354</v>
      </c>
      <c r="K4" s="1">
        <v>0.68428257520222102</v>
      </c>
      <c r="L4" s="1">
        <v>0.37134707100122288</v>
      </c>
      <c r="M4" s="11">
        <v>0</v>
      </c>
      <c r="N4" s="11">
        <v>0</v>
      </c>
      <c r="O4" s="4">
        <v>30.780091285705499</v>
      </c>
      <c r="P4" s="6">
        <v>0</v>
      </c>
      <c r="Q4" s="6">
        <v>0</v>
      </c>
      <c r="R4" s="6" t="b">
        <v>1</v>
      </c>
    </row>
    <row r="5" spans="1:21" x14ac:dyDescent="0.25">
      <c r="A5" t="s">
        <v>3</v>
      </c>
      <c r="B5">
        <f t="shared" si="0"/>
        <v>36</v>
      </c>
      <c r="C5">
        <v>3</v>
      </c>
      <c r="D5" s="1">
        <f t="shared" si="2"/>
        <v>32.703195662574835</v>
      </c>
      <c r="E5" s="1">
        <v>32.639336282805701</v>
      </c>
      <c r="F5" s="1">
        <v>32.534324645996001</v>
      </c>
      <c r="G5" s="1"/>
      <c r="H5">
        <v>1</v>
      </c>
      <c r="I5" s="1">
        <f t="shared" ca="1" si="1"/>
        <v>0.34183737849879747</v>
      </c>
      <c r="J5" s="1">
        <v>0.29549419708826907</v>
      </c>
      <c r="K5" s="1">
        <v>0.61491827448545555</v>
      </c>
      <c r="L5" s="1">
        <v>0.63342963440591915</v>
      </c>
      <c r="M5" s="11">
        <v>0</v>
      </c>
      <c r="N5" s="11">
        <v>0</v>
      </c>
      <c r="O5" s="4">
        <v>32.534324645996001</v>
      </c>
      <c r="P5" s="6">
        <v>0</v>
      </c>
      <c r="Q5" s="6">
        <v>0</v>
      </c>
      <c r="R5" s="6" t="b">
        <v>1</v>
      </c>
    </row>
    <row r="6" spans="1:21" x14ac:dyDescent="0.25">
      <c r="A6" t="s">
        <v>4</v>
      </c>
      <c r="B6">
        <f t="shared" si="0"/>
        <v>37</v>
      </c>
      <c r="C6">
        <v>4</v>
      </c>
      <c r="D6" s="1">
        <f t="shared" si="2"/>
        <v>34.647828872109017</v>
      </c>
      <c r="E6" s="1">
        <v>32.722701914642201</v>
      </c>
      <c r="F6" s="1">
        <v>32.704025268554602</v>
      </c>
      <c r="G6" s="1"/>
      <c r="H6">
        <v>1</v>
      </c>
      <c r="I6" s="1">
        <f t="shared" ca="1" si="1"/>
        <v>0.35420266165200687</v>
      </c>
      <c r="J6" s="1">
        <v>2.0883994672800776E-2</v>
      </c>
      <c r="K6" s="1">
        <v>0.38166269194612523</v>
      </c>
      <c r="L6" s="1">
        <v>0.4040673205092048</v>
      </c>
      <c r="M6" s="11">
        <v>0</v>
      </c>
      <c r="N6" s="11">
        <v>0</v>
      </c>
      <c r="O6" s="4">
        <v>32.704025268554602</v>
      </c>
      <c r="P6" s="6">
        <v>0</v>
      </c>
      <c r="Q6" s="6">
        <v>0</v>
      </c>
      <c r="R6" s="6" t="b">
        <v>1</v>
      </c>
    </row>
    <row r="7" spans="1:21" x14ac:dyDescent="0.25">
      <c r="A7" t="s">
        <v>5</v>
      </c>
      <c r="B7">
        <f t="shared" si="0"/>
        <v>38</v>
      </c>
      <c r="C7">
        <v>5</v>
      </c>
      <c r="D7" s="1">
        <f t="shared" si="2"/>
        <v>36.708095989675954</v>
      </c>
      <c r="E7" s="1">
        <v>36.549696774467201</v>
      </c>
      <c r="F7" s="1">
        <v>36.507204055786097</v>
      </c>
      <c r="G7" s="1"/>
      <c r="H7">
        <v>1</v>
      </c>
      <c r="I7" s="1">
        <f t="shared" ca="1" si="1"/>
        <v>0.43485131896171814</v>
      </c>
      <c r="J7" s="1">
        <v>0.67383747473272981</v>
      </c>
      <c r="K7" s="1">
        <v>0.45328756787955593</v>
      </c>
      <c r="L7" s="1">
        <v>0.10733242596151249</v>
      </c>
      <c r="M7" s="11">
        <v>0</v>
      </c>
      <c r="N7" s="11">
        <v>0</v>
      </c>
      <c r="O7" s="4">
        <v>36.507204055786097</v>
      </c>
      <c r="P7" s="6">
        <v>0</v>
      </c>
      <c r="Q7" s="6">
        <v>0</v>
      </c>
      <c r="R7" s="6" t="b">
        <v>1</v>
      </c>
    </row>
    <row r="8" spans="1:21" x14ac:dyDescent="0.25">
      <c r="A8" t="s">
        <v>6</v>
      </c>
      <c r="B8">
        <f t="shared" si="0"/>
        <v>39</v>
      </c>
      <c r="C8">
        <v>6</v>
      </c>
      <c r="D8" s="1">
        <f t="shared" si="2"/>
        <v>38.890872965260122</v>
      </c>
      <c r="E8" s="1">
        <v>38.820896733501499</v>
      </c>
      <c r="F8" s="1">
        <v>38.646694183349602</v>
      </c>
      <c r="G8" s="1"/>
      <c r="H8">
        <v>1</v>
      </c>
      <c r="I8" s="1">
        <f t="shared" ca="1" si="1"/>
        <v>0.48814629089630279</v>
      </c>
      <c r="J8" s="1">
        <v>0.57851152116751636</v>
      </c>
      <c r="K8" s="1">
        <v>0.78661787548324891</v>
      </c>
      <c r="L8" s="1">
        <v>0.58968430079112044</v>
      </c>
      <c r="M8" s="11">
        <v>0</v>
      </c>
      <c r="N8" s="11">
        <v>0</v>
      </c>
      <c r="O8" s="4">
        <v>38.646694183349602</v>
      </c>
      <c r="P8" s="6">
        <v>0</v>
      </c>
      <c r="Q8" s="6">
        <v>0</v>
      </c>
      <c r="R8" s="6" t="b">
        <v>1</v>
      </c>
    </row>
    <row r="9" spans="1:21" x14ac:dyDescent="0.25">
      <c r="A9" t="s">
        <v>7</v>
      </c>
      <c r="B9">
        <f t="shared" si="0"/>
        <v>40</v>
      </c>
      <c r="C9">
        <v>7</v>
      </c>
      <c r="D9" s="1">
        <f t="shared" si="2"/>
        <v>41.203444614108754</v>
      </c>
      <c r="E9" s="1">
        <v>40.602588413371201</v>
      </c>
      <c r="F9" s="1">
        <v>40.72261428833</v>
      </c>
      <c r="G9" s="1"/>
      <c r="H9">
        <v>1</v>
      </c>
      <c r="I9" s="1">
        <f t="shared" ca="1" si="1"/>
        <v>0.67043489626193176</v>
      </c>
      <c r="J9" s="1">
        <v>0.185115682007294</v>
      </c>
      <c r="K9" s="1">
        <v>0.55845804418748379</v>
      </c>
      <c r="L9" s="1">
        <v>0.95752014607918212</v>
      </c>
      <c r="M9" s="11">
        <v>0</v>
      </c>
      <c r="N9" s="11">
        <v>0</v>
      </c>
      <c r="O9" s="4">
        <v>40.72261428833</v>
      </c>
      <c r="P9" s="6">
        <v>0</v>
      </c>
      <c r="Q9" s="6">
        <v>0</v>
      </c>
      <c r="R9" s="6" t="b">
        <v>1</v>
      </c>
    </row>
    <row r="10" spans="1:21" x14ac:dyDescent="0.25">
      <c r="A10" t="s">
        <v>8</v>
      </c>
      <c r="B10">
        <f t="shared" si="0"/>
        <v>41</v>
      </c>
      <c r="C10">
        <v>8</v>
      </c>
      <c r="D10" s="1">
        <f t="shared" si="2"/>
        <v>43.6535289291255</v>
      </c>
      <c r="E10" s="1">
        <v>42.733436198566302</v>
      </c>
      <c r="F10" s="1">
        <v>42.902133941650298</v>
      </c>
      <c r="G10" s="1"/>
      <c r="H10">
        <v>1</v>
      </c>
      <c r="I10" s="1">
        <f t="shared" ca="1" si="1"/>
        <v>0.51442946569791337</v>
      </c>
      <c r="J10" s="1">
        <v>0.34226794633547597</v>
      </c>
      <c r="K10" s="1">
        <v>0.94948885057316612</v>
      </c>
      <c r="L10" s="1">
        <v>0.38778591719194333</v>
      </c>
      <c r="M10" s="11">
        <v>0</v>
      </c>
      <c r="N10" s="11">
        <v>0</v>
      </c>
      <c r="O10" s="4">
        <v>42.902133941650298</v>
      </c>
      <c r="P10" s="6">
        <v>0</v>
      </c>
      <c r="Q10" s="6">
        <v>0</v>
      </c>
      <c r="R10" s="6" t="b">
        <v>1</v>
      </c>
    </row>
    <row r="11" spans="1:21" x14ac:dyDescent="0.25">
      <c r="A11" t="s">
        <v>9</v>
      </c>
      <c r="B11">
        <f t="shared" si="0"/>
        <v>42</v>
      </c>
      <c r="C11">
        <v>9</v>
      </c>
      <c r="D11" s="1">
        <f t="shared" si="2"/>
        <v>46.249302838954314</v>
      </c>
      <c r="E11" s="1">
        <v>46.002099071534303</v>
      </c>
      <c r="F11" s="1">
        <v>46.025157928466797</v>
      </c>
      <c r="G11" s="1"/>
      <c r="H11">
        <v>1</v>
      </c>
      <c r="I11" s="1">
        <f t="shared" ca="1" si="1"/>
        <v>0.18848936283140194</v>
      </c>
      <c r="J11" s="1">
        <v>0.38759838177620687</v>
      </c>
      <c r="K11" s="1">
        <v>0.49328684516645971</v>
      </c>
      <c r="L11" s="1">
        <v>0.18171434178226098</v>
      </c>
      <c r="M11" s="11">
        <v>0</v>
      </c>
      <c r="N11" s="11">
        <v>0</v>
      </c>
      <c r="O11" s="4">
        <v>46.025157928466797</v>
      </c>
      <c r="P11" s="6">
        <v>0</v>
      </c>
      <c r="Q11" s="6">
        <v>0</v>
      </c>
      <c r="R11" s="6" t="b">
        <v>1</v>
      </c>
    </row>
    <row r="12" spans="1:21" x14ac:dyDescent="0.25">
      <c r="A12" t="s">
        <v>10</v>
      </c>
      <c r="B12">
        <f t="shared" si="0"/>
        <v>43</v>
      </c>
      <c r="C12">
        <v>10</v>
      </c>
      <c r="D12" s="1">
        <f t="shared" si="2"/>
        <v>48.99942949771868</v>
      </c>
      <c r="E12" s="1">
        <v>46.385959894950297</v>
      </c>
      <c r="F12" s="1">
        <v>46.516143798828097</v>
      </c>
      <c r="G12" s="1"/>
      <c r="H12">
        <v>1</v>
      </c>
      <c r="I12" s="1">
        <f t="shared" ca="1" si="1"/>
        <v>0.80980284433467742</v>
      </c>
      <c r="J12" s="1">
        <v>0.66316156876309551</v>
      </c>
      <c r="K12" s="1">
        <v>0.30985379615154351</v>
      </c>
      <c r="L12" s="1">
        <v>0.27797869363388927</v>
      </c>
      <c r="M12" s="11">
        <v>0</v>
      </c>
      <c r="N12" s="11">
        <v>0</v>
      </c>
      <c r="O12" s="4">
        <v>46.516143798828097</v>
      </c>
      <c r="P12" s="6">
        <v>0</v>
      </c>
      <c r="Q12" s="6">
        <v>0</v>
      </c>
      <c r="R12" s="6" t="b">
        <v>1</v>
      </c>
    </row>
    <row r="13" spans="1:21" x14ac:dyDescent="0.25">
      <c r="A13" t="s">
        <v>11</v>
      </c>
      <c r="B13">
        <f t="shared" si="0"/>
        <v>44</v>
      </c>
      <c r="C13">
        <v>11</v>
      </c>
      <c r="D13" s="1">
        <f t="shared" si="2"/>
        <v>51.913087197493162</v>
      </c>
      <c r="E13" s="1">
        <v>51.683609269622004</v>
      </c>
      <c r="F13" s="1">
        <v>51.6283149719238</v>
      </c>
      <c r="G13" s="1"/>
      <c r="H13">
        <v>1</v>
      </c>
      <c r="I13" s="1">
        <f t="shared" ca="1" si="1"/>
        <v>2.0259957372948389E-2</v>
      </c>
      <c r="J13" s="1">
        <v>0.45822169274200597</v>
      </c>
      <c r="K13" s="1">
        <v>4.0934639698014252E-2</v>
      </c>
      <c r="L13" s="1">
        <v>0.84426398789431145</v>
      </c>
      <c r="M13" s="11">
        <v>0</v>
      </c>
      <c r="N13" s="11">
        <v>0</v>
      </c>
      <c r="O13" s="4">
        <v>51.6283149719238</v>
      </c>
      <c r="P13" s="6">
        <v>0</v>
      </c>
      <c r="Q13" s="6">
        <v>0</v>
      </c>
      <c r="R13" s="6" t="b">
        <v>1</v>
      </c>
    </row>
    <row r="14" spans="1:21" x14ac:dyDescent="0.25">
      <c r="A14" t="s">
        <v>12</v>
      </c>
      <c r="B14">
        <f t="shared" si="0"/>
        <v>45</v>
      </c>
      <c r="C14">
        <v>12</v>
      </c>
      <c r="D14" s="1">
        <f t="shared" si="2"/>
        <v>55.000000000000021</v>
      </c>
      <c r="E14" s="1">
        <v>54.563179799499601</v>
      </c>
      <c r="F14" s="1">
        <v>54.683086395263601</v>
      </c>
      <c r="G14" s="1"/>
      <c r="H14">
        <v>1</v>
      </c>
      <c r="I14" s="1">
        <f t="shared" ca="1" si="1"/>
        <v>4.4653728183291164E-2</v>
      </c>
      <c r="J14" s="1">
        <v>0.74645793978350128</v>
      </c>
      <c r="K14" s="1">
        <v>0.61505523732587353</v>
      </c>
      <c r="L14" s="1">
        <v>0.74308561908697668</v>
      </c>
      <c r="M14" s="11">
        <v>0</v>
      </c>
      <c r="N14" s="11">
        <v>0</v>
      </c>
      <c r="O14" s="4">
        <v>54.683086395263601</v>
      </c>
      <c r="P14" s="6">
        <v>0</v>
      </c>
      <c r="Q14" s="6">
        <v>0</v>
      </c>
      <c r="R14" s="6" t="b">
        <v>1</v>
      </c>
    </row>
    <row r="15" spans="1:21" x14ac:dyDescent="0.25">
      <c r="A15" t="s">
        <v>13</v>
      </c>
      <c r="B15">
        <f t="shared" si="0"/>
        <v>46</v>
      </c>
      <c r="C15">
        <v>13</v>
      </c>
      <c r="D15" s="1">
        <f t="shared" si="2"/>
        <v>58.270470189761262</v>
      </c>
      <c r="E15" s="1">
        <v>56.606248652163401</v>
      </c>
      <c r="F15" s="1">
        <v>56.612411499023402</v>
      </c>
      <c r="G15" s="1"/>
      <c r="H15">
        <v>2</v>
      </c>
      <c r="I15" s="1">
        <f t="shared" ca="1" si="1"/>
        <v>0.33025130270105463</v>
      </c>
      <c r="J15" s="1">
        <v>0.84827896041315631</v>
      </c>
      <c r="K15" s="1">
        <v>0.65319096929423315</v>
      </c>
      <c r="L15" s="1">
        <v>0.92030125887305625</v>
      </c>
      <c r="M15" s="1">
        <f t="shared" ref="M15:M28" si="3">IF($J15&gt;0.5,1,-1)*(K15*($T$3-$T$2)+$T$2)</f>
        <v>15.49148260082503</v>
      </c>
      <c r="N15" s="11">
        <v>0</v>
      </c>
      <c r="O15" s="4">
        <v>56.612411499023402</v>
      </c>
      <c r="P15" s="4">
        <f>O15*POWER(2,M15/1200)</f>
        <v>57.121265725426525</v>
      </c>
      <c r="Q15" s="6">
        <v>0</v>
      </c>
      <c r="R15" s="6" t="b">
        <v>1</v>
      </c>
    </row>
    <row r="16" spans="1:21" x14ac:dyDescent="0.25">
      <c r="A16" t="s">
        <v>14</v>
      </c>
      <c r="B16">
        <f t="shared" si="0"/>
        <v>47</v>
      </c>
      <c r="C16">
        <v>14</v>
      </c>
      <c r="D16" s="1">
        <f t="shared" si="2"/>
        <v>61.735412657015537</v>
      </c>
      <c r="E16" s="1">
        <v>60.461371309780297</v>
      </c>
      <c r="F16" s="1">
        <v>60.653106689453097</v>
      </c>
      <c r="G16" s="1"/>
      <c r="H16">
        <v>2</v>
      </c>
      <c r="I16" s="1">
        <f t="shared" ca="1" si="1"/>
        <v>0.3522026850165868</v>
      </c>
      <c r="J16" s="1">
        <v>0.55153199336734848</v>
      </c>
      <c r="K16" s="1">
        <v>0.18054622797229725</v>
      </c>
      <c r="L16" s="1">
        <v>0.98483524560105251</v>
      </c>
      <c r="M16" s="1">
        <f t="shared" si="3"/>
        <v>9.3471009636398641</v>
      </c>
      <c r="N16" s="11">
        <v>0</v>
      </c>
      <c r="O16" s="4">
        <v>60.653106689453097</v>
      </c>
      <c r="P16" s="4">
        <f t="shared" ref="P16:P79" si="4">O16*POWER(2,M16/1200)</f>
        <v>60.981464329712182</v>
      </c>
      <c r="Q16" s="6">
        <v>0</v>
      </c>
      <c r="R16" s="6" t="b">
        <v>1</v>
      </c>
    </row>
    <row r="17" spans="1:18" x14ac:dyDescent="0.25">
      <c r="A17" t="s">
        <v>15</v>
      </c>
      <c r="B17">
        <f t="shared" si="0"/>
        <v>48</v>
      </c>
      <c r="C17">
        <v>15</v>
      </c>
      <c r="D17" s="1">
        <f t="shared" si="2"/>
        <v>65.406391325149684</v>
      </c>
      <c r="E17" s="1">
        <v>63.6229375863538</v>
      </c>
      <c r="F17" s="1">
        <v>63.9025268554687</v>
      </c>
      <c r="G17" s="1"/>
      <c r="H17">
        <v>2</v>
      </c>
      <c r="I17" s="1">
        <f t="shared" ca="1" si="1"/>
        <v>0.16322165281307122</v>
      </c>
      <c r="J17" s="1">
        <v>0.63483187984307188</v>
      </c>
      <c r="K17" s="1">
        <v>0.40907012822346134</v>
      </c>
      <c r="L17" s="1">
        <v>0.96398805136580723</v>
      </c>
      <c r="M17" s="1">
        <f t="shared" si="3"/>
        <v>12.317911666904998</v>
      </c>
      <c r="N17" s="11">
        <v>0</v>
      </c>
      <c r="O17" s="4">
        <v>63.9025268554687</v>
      </c>
      <c r="P17" s="4">
        <f t="shared" si="4"/>
        <v>64.358821396844931</v>
      </c>
      <c r="Q17" s="6">
        <v>0</v>
      </c>
      <c r="R17" s="6" t="b">
        <v>1</v>
      </c>
    </row>
    <row r="18" spans="1:18" x14ac:dyDescent="0.25">
      <c r="A18" t="s">
        <v>16</v>
      </c>
      <c r="B18">
        <f t="shared" si="0"/>
        <v>49</v>
      </c>
      <c r="C18">
        <v>16</v>
      </c>
      <c r="D18" s="1">
        <f t="shared" si="2"/>
        <v>69.295657744218047</v>
      </c>
      <c r="E18" s="1">
        <v>67.488738204206001</v>
      </c>
      <c r="F18" s="1">
        <v>67.691818237304602</v>
      </c>
      <c r="G18" s="1"/>
      <c r="H18">
        <v>2</v>
      </c>
      <c r="I18" s="1">
        <f t="shared" ca="1" si="1"/>
        <v>0.11249108696133558</v>
      </c>
      <c r="J18" s="1">
        <v>0.14490236805953904</v>
      </c>
      <c r="K18" s="1">
        <v>0.78171284347943815</v>
      </c>
      <c r="L18" s="1">
        <v>0.52617751940293145</v>
      </c>
      <c r="M18" s="1">
        <f t="shared" si="3"/>
        <v>-17.162266965232696</v>
      </c>
      <c r="N18" s="11">
        <v>0</v>
      </c>
      <c r="O18" s="4">
        <v>67.691818237304602</v>
      </c>
      <c r="P18" s="4">
        <f t="shared" si="4"/>
        <v>67.024083181001103</v>
      </c>
      <c r="Q18" s="6">
        <v>0</v>
      </c>
      <c r="R18" s="6" t="b">
        <v>1</v>
      </c>
    </row>
    <row r="19" spans="1:18" x14ac:dyDescent="0.25">
      <c r="A19" t="s">
        <v>17</v>
      </c>
      <c r="B19">
        <f t="shared" si="0"/>
        <v>50</v>
      </c>
      <c r="C19">
        <v>17</v>
      </c>
      <c r="D19" s="1">
        <f t="shared" si="2"/>
        <v>73.416191979351922</v>
      </c>
      <c r="E19" s="1">
        <v>71.215557788568006</v>
      </c>
      <c r="F19" s="1">
        <v>71.329765319824205</v>
      </c>
      <c r="G19" s="1"/>
      <c r="H19">
        <v>2</v>
      </c>
      <c r="I19" s="1">
        <f t="shared" ca="1" si="1"/>
        <v>0.44600641849488265</v>
      </c>
      <c r="J19" s="1">
        <v>0.356972934768229</v>
      </c>
      <c r="K19" s="1">
        <v>0.71989352940748175</v>
      </c>
      <c r="L19" s="1">
        <v>0.67699057029620791</v>
      </c>
      <c r="M19" s="1">
        <f t="shared" si="3"/>
        <v>-16.358615882297265</v>
      </c>
      <c r="N19" s="11">
        <v>0</v>
      </c>
      <c r="O19" s="4">
        <v>71.329765319824205</v>
      </c>
      <c r="P19" s="4">
        <f t="shared" si="4"/>
        <v>70.658937085646627</v>
      </c>
      <c r="Q19" s="6">
        <v>0</v>
      </c>
      <c r="R19" s="6" t="b">
        <v>1</v>
      </c>
    </row>
    <row r="20" spans="1:18" x14ac:dyDescent="0.25">
      <c r="A20" t="s">
        <v>18</v>
      </c>
      <c r="B20">
        <f t="shared" si="0"/>
        <v>51</v>
      </c>
      <c r="C20">
        <v>18</v>
      </c>
      <c r="D20" s="1">
        <f t="shared" si="2"/>
        <v>77.781745930520259</v>
      </c>
      <c r="E20" s="1">
        <v>75.491572389787805</v>
      </c>
      <c r="F20" s="1">
        <v>75.606437683105398</v>
      </c>
      <c r="G20" s="1"/>
      <c r="H20">
        <v>2</v>
      </c>
      <c r="I20" s="1">
        <f t="shared" ca="1" si="1"/>
        <v>9.6614952110406715E-2</v>
      </c>
      <c r="J20" s="1">
        <v>0.78478193902239712</v>
      </c>
      <c r="K20" s="1">
        <v>0.71722964512848408</v>
      </c>
      <c r="L20" s="1">
        <v>0.39521071305427224</v>
      </c>
      <c r="M20" s="1">
        <f t="shared" si="3"/>
        <v>16.323985386670294</v>
      </c>
      <c r="N20" s="11">
        <v>0</v>
      </c>
      <c r="O20" s="4">
        <v>75.606437683105398</v>
      </c>
      <c r="P20" s="4">
        <f t="shared" si="4"/>
        <v>76.322710221972088</v>
      </c>
      <c r="Q20" s="6">
        <v>0</v>
      </c>
      <c r="R20" s="6" t="b">
        <v>1</v>
      </c>
    </row>
    <row r="21" spans="1:18" x14ac:dyDescent="0.25">
      <c r="A21" t="s">
        <v>19</v>
      </c>
      <c r="B21">
        <f t="shared" si="0"/>
        <v>52</v>
      </c>
      <c r="C21">
        <v>19</v>
      </c>
      <c r="D21" s="1">
        <f t="shared" si="2"/>
        <v>82.406889228217523</v>
      </c>
      <c r="E21" s="1">
        <v>80.340578898642804</v>
      </c>
      <c r="F21" s="1">
        <v>80.525413513183594</v>
      </c>
      <c r="G21" s="1"/>
      <c r="H21">
        <v>2</v>
      </c>
      <c r="I21" s="1">
        <f t="shared" ca="1" si="1"/>
        <v>0.41739093748492972</v>
      </c>
      <c r="J21" s="1">
        <v>0.11332271031710606</v>
      </c>
      <c r="K21" s="1">
        <v>0.19612889882211459</v>
      </c>
      <c r="L21" s="1">
        <v>0.96714802485671714</v>
      </c>
      <c r="M21" s="1">
        <f t="shared" si="3"/>
        <v>-9.5496756846874895</v>
      </c>
      <c r="N21" s="11">
        <v>0</v>
      </c>
      <c r="O21" s="4">
        <v>80.525413513183594</v>
      </c>
      <c r="P21" s="4">
        <f t="shared" si="4"/>
        <v>80.082449398931416</v>
      </c>
      <c r="Q21" s="6">
        <v>0</v>
      </c>
      <c r="R21" s="6" t="b">
        <v>1</v>
      </c>
    </row>
    <row r="22" spans="1:18" x14ac:dyDescent="0.25">
      <c r="A22" t="s">
        <v>20</v>
      </c>
      <c r="B22">
        <f t="shared" si="0"/>
        <v>53</v>
      </c>
      <c r="C22">
        <v>20</v>
      </c>
      <c r="D22" s="1">
        <f t="shared" si="2"/>
        <v>87.307057858251014</v>
      </c>
      <c r="E22" s="1">
        <v>84.786770670159299</v>
      </c>
      <c r="F22" s="1">
        <v>84.822731018066406</v>
      </c>
      <c r="G22" s="1"/>
      <c r="H22">
        <v>2</v>
      </c>
      <c r="I22" s="1">
        <f t="shared" ca="1" si="1"/>
        <v>3.9975111396373331E-2</v>
      </c>
      <c r="J22" s="1">
        <v>0.31221491944713942</v>
      </c>
      <c r="K22" s="1">
        <v>0.27449369339633367</v>
      </c>
      <c r="L22" s="1">
        <v>0.93699941883948012</v>
      </c>
      <c r="M22" s="1">
        <f t="shared" si="3"/>
        <v>-10.568418014152337</v>
      </c>
      <c r="N22" s="11">
        <v>0</v>
      </c>
      <c r="O22" s="4">
        <v>84.822731018066406</v>
      </c>
      <c r="P22" s="4">
        <f t="shared" si="4"/>
        <v>84.306503043530668</v>
      </c>
      <c r="Q22" s="6">
        <v>0</v>
      </c>
      <c r="R22" s="6" t="b">
        <v>1</v>
      </c>
    </row>
    <row r="23" spans="1:18" x14ac:dyDescent="0.25">
      <c r="A23" t="s">
        <v>21</v>
      </c>
      <c r="B23">
        <f t="shared" si="0"/>
        <v>54</v>
      </c>
      <c r="C23">
        <v>21</v>
      </c>
      <c r="D23" s="1">
        <f t="shared" si="2"/>
        <v>92.498605677908643</v>
      </c>
      <c r="E23" s="1">
        <v>90.159371739066501</v>
      </c>
      <c r="F23" s="1">
        <v>90.379859924316406</v>
      </c>
      <c r="G23" s="1"/>
      <c r="H23">
        <v>2</v>
      </c>
      <c r="I23" s="1">
        <f t="shared" ca="1" si="1"/>
        <v>0.9016159613781638</v>
      </c>
      <c r="J23" s="1">
        <v>0.42294804619024018</v>
      </c>
      <c r="K23" s="1">
        <v>0.98300718840165668</v>
      </c>
      <c r="L23" s="1">
        <v>0.1196353416552296</v>
      </c>
      <c r="M23" s="1">
        <f t="shared" si="3"/>
        <v>-19.779093449221538</v>
      </c>
      <c r="N23" s="11">
        <v>0</v>
      </c>
      <c r="O23" s="4">
        <v>90.379859924316406</v>
      </c>
      <c r="P23" s="4">
        <f t="shared" si="4"/>
        <v>89.353159484535425</v>
      </c>
      <c r="Q23" s="6">
        <v>0</v>
      </c>
      <c r="R23" s="6" t="b">
        <v>1</v>
      </c>
    </row>
    <row r="24" spans="1:18" x14ac:dyDescent="0.25">
      <c r="A24" t="s">
        <v>22</v>
      </c>
      <c r="B24">
        <f t="shared" si="0"/>
        <v>55</v>
      </c>
      <c r="C24">
        <v>22</v>
      </c>
      <c r="D24" s="1">
        <f t="shared" si="2"/>
        <v>97.998858995437374</v>
      </c>
      <c r="E24" s="1">
        <v>95.548023317083903</v>
      </c>
      <c r="F24" s="1">
        <v>95.760177612304602</v>
      </c>
      <c r="G24" s="1"/>
      <c r="H24">
        <v>2</v>
      </c>
      <c r="I24" s="1">
        <f t="shared" ca="1" si="1"/>
        <v>0.69537559944970928</v>
      </c>
      <c r="J24" s="1">
        <v>0.22032984385181897</v>
      </c>
      <c r="K24" s="1">
        <v>0.38004584152372811</v>
      </c>
      <c r="L24" s="1">
        <v>0.5974949006931769</v>
      </c>
      <c r="M24" s="1">
        <f t="shared" si="3"/>
        <v>-11.940595939808466</v>
      </c>
      <c r="N24" s="11">
        <v>0</v>
      </c>
      <c r="O24" s="4">
        <v>95.760177612304602</v>
      </c>
      <c r="P24" s="4">
        <f t="shared" si="4"/>
        <v>95.101976939076081</v>
      </c>
      <c r="Q24" s="6">
        <v>0</v>
      </c>
      <c r="R24" s="6" t="b">
        <v>1</v>
      </c>
    </row>
    <row r="25" spans="1:18" x14ac:dyDescent="0.25">
      <c r="A25" t="s">
        <v>23</v>
      </c>
      <c r="B25">
        <f t="shared" si="0"/>
        <v>56</v>
      </c>
      <c r="C25">
        <v>23</v>
      </c>
      <c r="D25" s="1">
        <f t="shared" si="2"/>
        <v>103.82617439498634</v>
      </c>
      <c r="E25" s="1">
        <v>101.323159169224</v>
      </c>
      <c r="F25" s="1">
        <v>101.463134765625</v>
      </c>
      <c r="G25" s="1"/>
      <c r="H25">
        <v>2</v>
      </c>
      <c r="I25" s="1">
        <f t="shared" ca="1" si="1"/>
        <v>0.69585018162549261</v>
      </c>
      <c r="J25" s="1">
        <v>0.55298365228987389</v>
      </c>
      <c r="K25" s="1">
        <v>0.9389436280988408</v>
      </c>
      <c r="L25" s="1">
        <v>0.21752296874472021</v>
      </c>
      <c r="M25" s="1">
        <f t="shared" si="3"/>
        <v>19.206267165284931</v>
      </c>
      <c r="N25" s="11">
        <v>0</v>
      </c>
      <c r="O25" s="4">
        <v>101.463134765625</v>
      </c>
      <c r="P25" s="4">
        <f t="shared" si="4"/>
        <v>102.59503124710811</v>
      </c>
      <c r="Q25" s="6">
        <v>0</v>
      </c>
      <c r="R25" s="6" t="b">
        <v>1</v>
      </c>
    </row>
    <row r="26" spans="1:18" s="2" customFormat="1" x14ac:dyDescent="0.25">
      <c r="A26" s="2" t="s">
        <v>24</v>
      </c>
      <c r="B26" s="2">
        <f t="shared" si="0"/>
        <v>57</v>
      </c>
      <c r="C26" s="2">
        <v>24</v>
      </c>
      <c r="D26" s="3">
        <f t="shared" si="2"/>
        <v>110.00000000000006</v>
      </c>
      <c r="E26" s="3">
        <v>107.349543359595</v>
      </c>
      <c r="F26" s="3">
        <v>107.48963928222599</v>
      </c>
      <c r="G26" s="3"/>
      <c r="H26" s="2">
        <v>2</v>
      </c>
      <c r="I26" s="3">
        <f t="shared" ca="1" si="1"/>
        <v>0.62788280822882081</v>
      </c>
      <c r="J26" s="3">
        <v>0.57209760993574277</v>
      </c>
      <c r="K26" s="3">
        <v>0.62174546536348818</v>
      </c>
      <c r="L26" s="3">
        <v>7.7675255775897067E-2</v>
      </c>
      <c r="M26" s="1">
        <f t="shared" si="3"/>
        <v>15.082691049725346</v>
      </c>
      <c r="N26" s="11">
        <v>0</v>
      </c>
      <c r="O26" s="5">
        <v>107.48963928222599</v>
      </c>
      <c r="P26" s="4">
        <f t="shared" si="4"/>
        <v>108.43019134108329</v>
      </c>
      <c r="Q26" s="6">
        <v>0</v>
      </c>
      <c r="R26" s="6" t="b">
        <v>1</v>
      </c>
    </row>
    <row r="27" spans="1:18" x14ac:dyDescent="0.25">
      <c r="A27" t="s">
        <v>25</v>
      </c>
      <c r="B27">
        <f t="shared" si="0"/>
        <v>58</v>
      </c>
      <c r="C27">
        <v>25</v>
      </c>
      <c r="D27" s="1">
        <f t="shared" si="2"/>
        <v>116.54094037952254</v>
      </c>
      <c r="E27" s="1">
        <v>113.66519675779401</v>
      </c>
      <c r="F27" s="1">
        <v>113.87899017333901</v>
      </c>
      <c r="G27" s="1"/>
      <c r="H27">
        <v>2</v>
      </c>
      <c r="I27" s="1">
        <f t="shared" ca="1" si="1"/>
        <v>0.57424317436902039</v>
      </c>
      <c r="J27" s="1">
        <v>9.380053797811061E-2</v>
      </c>
      <c r="K27" s="1">
        <v>0.87071326348339484</v>
      </c>
      <c r="L27" s="1">
        <v>0.30329332743682336</v>
      </c>
      <c r="M27" s="1">
        <f t="shared" si="3"/>
        <v>-18.319272425284133</v>
      </c>
      <c r="N27" s="11">
        <v>0</v>
      </c>
      <c r="O27" s="4">
        <v>113.87899017333901</v>
      </c>
      <c r="P27" s="4">
        <f t="shared" si="4"/>
        <v>112.68031834473609</v>
      </c>
      <c r="Q27" s="6">
        <v>0</v>
      </c>
      <c r="R27" s="6" t="b">
        <v>1</v>
      </c>
    </row>
    <row r="28" spans="1:18" x14ac:dyDescent="0.25">
      <c r="A28" t="s">
        <v>26</v>
      </c>
      <c r="B28">
        <f t="shared" si="0"/>
        <v>59</v>
      </c>
      <c r="C28">
        <v>26</v>
      </c>
      <c r="D28" s="1">
        <f t="shared" si="2"/>
        <v>123.4708253140311</v>
      </c>
      <c r="E28" s="1">
        <v>120.527151675685</v>
      </c>
      <c r="F28" s="1">
        <v>120.647888183593</v>
      </c>
      <c r="G28" s="1"/>
      <c r="H28">
        <v>2</v>
      </c>
      <c r="I28" s="1">
        <f t="shared" ca="1" si="1"/>
        <v>0.26471382781997399</v>
      </c>
      <c r="J28" s="1">
        <v>0.48397609718548762</v>
      </c>
      <c r="K28" s="1">
        <v>1.7665364181373433E-2</v>
      </c>
      <c r="L28" s="1">
        <v>0.26657276614776404</v>
      </c>
      <c r="M28" s="1">
        <f t="shared" si="3"/>
        <v>-7.2296497343578547</v>
      </c>
      <c r="N28" s="11">
        <v>0</v>
      </c>
      <c r="O28" s="4">
        <v>120.647888183593</v>
      </c>
      <c r="P28" s="4">
        <f t="shared" si="4"/>
        <v>120.14511199316134</v>
      </c>
      <c r="Q28" s="6">
        <v>0</v>
      </c>
      <c r="R28" s="6" t="b">
        <v>1</v>
      </c>
    </row>
    <row r="29" spans="1:18" x14ac:dyDescent="0.25">
      <c r="A29" t="s">
        <v>27</v>
      </c>
      <c r="B29">
        <f t="shared" si="0"/>
        <v>60</v>
      </c>
      <c r="C29">
        <v>27</v>
      </c>
      <c r="D29" s="1">
        <f t="shared" si="2"/>
        <v>130.8127826502994</v>
      </c>
      <c r="E29" s="1">
        <v>126.90698009926101</v>
      </c>
      <c r="F29" s="1">
        <v>127.106117248535</v>
      </c>
      <c r="G29" s="1"/>
      <c r="H29">
        <v>2</v>
      </c>
      <c r="I29" s="1">
        <f t="shared" ca="1" si="1"/>
        <v>0.5609616358261994</v>
      </c>
      <c r="J29" s="1">
        <v>0.45660717271868545</v>
      </c>
      <c r="K29" s="1">
        <v>0.86715369798291519</v>
      </c>
      <c r="L29" s="1">
        <v>0.14701113579377401</v>
      </c>
      <c r="M29" s="1">
        <f>IF($J29&gt;0.5,1,-1)*(K29*($T$3-$T$2)+$T$2)</f>
        <v>-18.272998073777899</v>
      </c>
      <c r="N29" s="11">
        <v>0</v>
      </c>
      <c r="O29" s="4">
        <v>127.106117248535</v>
      </c>
      <c r="P29" s="4">
        <f t="shared" si="4"/>
        <v>125.77158053799423</v>
      </c>
      <c r="Q29" s="6">
        <v>0</v>
      </c>
      <c r="R29" s="6" t="b">
        <v>1</v>
      </c>
    </row>
    <row r="30" spans="1:18" x14ac:dyDescent="0.25">
      <c r="A30" t="s">
        <v>28</v>
      </c>
      <c r="B30">
        <f t="shared" si="0"/>
        <v>61</v>
      </c>
      <c r="C30">
        <v>28</v>
      </c>
      <c r="D30" s="1">
        <f t="shared" si="2"/>
        <v>138.59131548843615</v>
      </c>
      <c r="E30" s="1">
        <v>135.56228672339299</v>
      </c>
      <c r="F30" s="1">
        <v>136.19244384765599</v>
      </c>
      <c r="G30" s="1"/>
      <c r="H30">
        <v>2</v>
      </c>
      <c r="I30" s="1">
        <f t="shared" ca="1" si="1"/>
        <v>0.77932334076827325</v>
      </c>
      <c r="J30" s="1">
        <v>0.15079539744814707</v>
      </c>
      <c r="K30" s="1">
        <v>0.59882370332393831</v>
      </c>
      <c r="L30" s="1">
        <v>0.56832127965096613</v>
      </c>
      <c r="M30" s="1">
        <f t="shared" ref="M30:M31" si="5">IF($J30&gt;0.5,1,-1)*(K30*($T$3-$T$2)+$T$2)</f>
        <v>-14.784708143211198</v>
      </c>
      <c r="N30" s="11">
        <v>0</v>
      </c>
      <c r="O30" s="4">
        <v>136.19244384765599</v>
      </c>
      <c r="P30" s="4">
        <f t="shared" si="4"/>
        <v>135.03431502571792</v>
      </c>
      <c r="Q30" s="6">
        <v>0</v>
      </c>
      <c r="R30" s="6" t="b">
        <v>1</v>
      </c>
    </row>
    <row r="31" spans="1:18" x14ac:dyDescent="0.25">
      <c r="A31" t="s">
        <v>29</v>
      </c>
      <c r="B31">
        <f t="shared" si="0"/>
        <v>62</v>
      </c>
      <c r="C31">
        <v>29</v>
      </c>
      <c r="D31" s="1">
        <f t="shared" si="2"/>
        <v>146.8323839587039</v>
      </c>
      <c r="E31" s="1">
        <v>143.24543883900799</v>
      </c>
      <c r="F31" s="1">
        <v>143.49411773681601</v>
      </c>
      <c r="G31" s="1"/>
      <c r="H31">
        <v>2</v>
      </c>
      <c r="I31" s="1">
        <f t="shared" ca="1" si="1"/>
        <v>0.33848441567081144</v>
      </c>
      <c r="J31" s="1">
        <v>0.79822134755866092</v>
      </c>
      <c r="K31" s="1">
        <v>0.125525783810293</v>
      </c>
      <c r="L31" s="1">
        <v>0.66949852784264774</v>
      </c>
      <c r="M31" s="1">
        <f t="shared" si="5"/>
        <v>8.6318351895338097</v>
      </c>
      <c r="N31" s="11">
        <v>0</v>
      </c>
      <c r="O31" s="4">
        <v>143.49411773681601</v>
      </c>
      <c r="P31" s="4">
        <f t="shared" si="4"/>
        <v>144.21135787694047</v>
      </c>
      <c r="Q31" s="6">
        <v>0</v>
      </c>
      <c r="R31" s="6" t="b">
        <v>1</v>
      </c>
    </row>
    <row r="32" spans="1:18" x14ac:dyDescent="0.25">
      <c r="A32" t="s">
        <v>30</v>
      </c>
      <c r="B32">
        <f t="shared" si="0"/>
        <v>63</v>
      </c>
      <c r="C32">
        <v>30</v>
      </c>
      <c r="D32" s="1">
        <f t="shared" si="2"/>
        <v>155.5634918610406</v>
      </c>
      <c r="E32" s="1">
        <v>148.90559267010099</v>
      </c>
      <c r="F32" s="1">
        <v>149.35060119628901</v>
      </c>
      <c r="G32" s="1"/>
      <c r="H32">
        <v>3</v>
      </c>
      <c r="I32" s="1">
        <f t="shared" ca="1" si="1"/>
        <v>0.96767989659357312</v>
      </c>
      <c r="J32" s="1">
        <v>0.27855230801069675</v>
      </c>
      <c r="K32" s="1">
        <v>0.68879628823995775</v>
      </c>
      <c r="L32" s="1">
        <v>0.39349713166630329</v>
      </c>
      <c r="M32" s="1">
        <f>K32*(($T$3-$T$2)+$T$2)</f>
        <v>13.775925764799155</v>
      </c>
      <c r="N32" s="1">
        <f>-L32*(($T$3-$T$2)+$T$2)</f>
        <v>-7.8699426333260654</v>
      </c>
      <c r="O32" s="4">
        <v>149.35060119628901</v>
      </c>
      <c r="P32" s="4">
        <f t="shared" si="4"/>
        <v>150.54376764473508</v>
      </c>
      <c r="Q32" s="4">
        <f>O32*POWER(2,N32/1200)</f>
        <v>148.67321551779375</v>
      </c>
      <c r="R32" s="6" t="b">
        <v>1</v>
      </c>
    </row>
    <row r="33" spans="1:18" x14ac:dyDescent="0.25">
      <c r="A33" t="s">
        <v>31</v>
      </c>
      <c r="B33">
        <f t="shared" si="0"/>
        <v>64</v>
      </c>
      <c r="C33">
        <v>31</v>
      </c>
      <c r="D33" s="1">
        <f t="shared" si="2"/>
        <v>164.81377845643513</v>
      </c>
      <c r="E33" s="1">
        <v>159.043052892931</v>
      </c>
      <c r="F33" s="1">
        <v>159.629768371582</v>
      </c>
      <c r="G33" s="1"/>
      <c r="H33">
        <v>3</v>
      </c>
      <c r="I33" s="1">
        <f t="shared" ca="1" si="1"/>
        <v>0.91007623864068843</v>
      </c>
      <c r="J33" s="1">
        <v>0.57856616352363965</v>
      </c>
      <c r="K33" s="1">
        <v>0.30694780928903154</v>
      </c>
      <c r="L33" s="1">
        <v>0.52792885315524818</v>
      </c>
      <c r="M33" s="1">
        <f t="shared" ref="M33:M86" si="6">K33*(($T$3-$T$2)+$T$2)</f>
        <v>6.1389561857806303</v>
      </c>
      <c r="N33" s="1">
        <f t="shared" ref="N33:N86" si="7">-L33*(($T$3-$T$2)+$T$2)</f>
        <v>-10.558577063104963</v>
      </c>
      <c r="O33" s="4">
        <v>159.629768371582</v>
      </c>
      <c r="P33" s="4">
        <f t="shared" si="4"/>
        <v>160.19682034207818</v>
      </c>
      <c r="Q33" s="4">
        <f t="shared" ref="Q33:Q86" si="8">O33*POWER(2,N33/1200)</f>
        <v>158.6591694329407</v>
      </c>
      <c r="R33" s="6" t="b">
        <v>1</v>
      </c>
    </row>
    <row r="34" spans="1:18" x14ac:dyDescent="0.25">
      <c r="A34" t="s">
        <v>32</v>
      </c>
      <c r="B34">
        <f t="shared" si="0"/>
        <v>65</v>
      </c>
      <c r="C34">
        <v>32</v>
      </c>
      <c r="D34" s="1">
        <f t="shared" si="2"/>
        <v>174.61411571650211</v>
      </c>
      <c r="E34" s="1">
        <v>168.78898568616299</v>
      </c>
      <c r="F34" s="1">
        <v>169.64434814453099</v>
      </c>
      <c r="G34" s="1"/>
      <c r="H34">
        <v>3</v>
      </c>
      <c r="I34" s="1">
        <f t="shared" ca="1" si="1"/>
        <v>0.9315877847694809</v>
      </c>
      <c r="J34" s="1">
        <v>0.18885380642756577</v>
      </c>
      <c r="K34" s="1">
        <v>0.27343375381385993</v>
      </c>
      <c r="L34" s="1">
        <v>0.63095303254389223</v>
      </c>
      <c r="M34" s="1">
        <f t="shared" si="6"/>
        <v>5.468675076277199</v>
      </c>
      <c r="N34" s="1">
        <f t="shared" si="7"/>
        <v>-12.619060650877845</v>
      </c>
      <c r="O34" s="4">
        <v>169.64434814453099</v>
      </c>
      <c r="P34" s="4">
        <f t="shared" si="4"/>
        <v>170.18107316664029</v>
      </c>
      <c r="Q34" s="4">
        <f t="shared" si="8"/>
        <v>168.41229681647602</v>
      </c>
      <c r="R34" s="6" t="b">
        <v>1</v>
      </c>
    </row>
    <row r="35" spans="1:18" x14ac:dyDescent="0.25">
      <c r="A35" t="s">
        <v>33</v>
      </c>
      <c r="B35">
        <f t="shared" si="0"/>
        <v>66</v>
      </c>
      <c r="C35">
        <v>33</v>
      </c>
      <c r="D35" s="1">
        <f t="shared" si="2"/>
        <v>184.9972113558174</v>
      </c>
      <c r="E35" s="1">
        <v>177.27514101741301</v>
      </c>
      <c r="F35" s="1">
        <v>177.67329406738199</v>
      </c>
      <c r="G35" s="1"/>
      <c r="H35">
        <v>3</v>
      </c>
      <c r="I35" s="1">
        <f t="shared" ca="1" si="1"/>
        <v>0.34657165082453756</v>
      </c>
      <c r="J35" s="1">
        <v>0.72172968661672821</v>
      </c>
      <c r="K35" s="1">
        <v>0.34548832138886043</v>
      </c>
      <c r="L35" s="1">
        <v>0.84603784843514052</v>
      </c>
      <c r="M35" s="1">
        <f t="shared" si="6"/>
        <v>6.9097664277772086</v>
      </c>
      <c r="N35" s="1">
        <f t="shared" si="7"/>
        <v>-16.920756968702811</v>
      </c>
      <c r="O35" s="4">
        <v>177.67329406738199</v>
      </c>
      <c r="P35" s="4">
        <f t="shared" si="4"/>
        <v>178.38384744927379</v>
      </c>
      <c r="Q35" s="4">
        <f t="shared" si="8"/>
        <v>175.94520736134254</v>
      </c>
      <c r="R35" s="6" t="b">
        <v>1</v>
      </c>
    </row>
    <row r="36" spans="1:18" x14ac:dyDescent="0.25">
      <c r="A36" t="s">
        <v>34</v>
      </c>
      <c r="B36">
        <f t="shared" si="0"/>
        <v>67</v>
      </c>
      <c r="C36">
        <v>34</v>
      </c>
      <c r="D36" s="1">
        <f t="shared" si="2"/>
        <v>195.99771799087486</v>
      </c>
      <c r="E36" s="1">
        <v>189.48293055454101</v>
      </c>
      <c r="F36" s="1">
        <v>190.40190124511699</v>
      </c>
      <c r="G36" s="1"/>
      <c r="H36">
        <v>3</v>
      </c>
      <c r="I36" s="1">
        <f t="shared" ca="1" si="1"/>
        <v>0.81755006103080363</v>
      </c>
      <c r="J36" s="1">
        <v>0.11434494047821941</v>
      </c>
      <c r="K36" s="1">
        <v>0.47770656524431943</v>
      </c>
      <c r="L36" s="1">
        <v>0.57310162781097884</v>
      </c>
      <c r="M36" s="1">
        <f t="shared" si="6"/>
        <v>9.5541313048863881</v>
      </c>
      <c r="N36" s="1">
        <f t="shared" si="7"/>
        <v>-11.462032556219576</v>
      </c>
      <c r="O36" s="4">
        <v>190.40190124511699</v>
      </c>
      <c r="P36" s="4">
        <f t="shared" si="4"/>
        <v>191.45557368120652</v>
      </c>
      <c r="Q36" s="4">
        <f t="shared" si="8"/>
        <v>189.14546558685936</v>
      </c>
      <c r="R36" s="6" t="b">
        <v>1</v>
      </c>
    </row>
    <row r="37" spans="1:18" x14ac:dyDescent="0.25">
      <c r="A37" t="s">
        <v>35</v>
      </c>
      <c r="B37">
        <f t="shared" si="0"/>
        <v>68</v>
      </c>
      <c r="C37">
        <v>35</v>
      </c>
      <c r="D37" s="1">
        <f t="shared" si="2"/>
        <v>207.65234878997279</v>
      </c>
      <c r="E37" s="1">
        <v>199.72276422568501</v>
      </c>
      <c r="F37" s="1">
        <v>200.577224731445</v>
      </c>
      <c r="G37" s="1"/>
      <c r="H37">
        <v>3</v>
      </c>
      <c r="I37" s="1">
        <f t="shared" ca="1" si="1"/>
        <v>0.12759828472297197</v>
      </c>
      <c r="J37" s="1">
        <v>0.41117990887062206</v>
      </c>
      <c r="K37" s="1">
        <v>0.63949109324079201</v>
      </c>
      <c r="L37" s="1">
        <v>0.9232487624660114</v>
      </c>
      <c r="M37" s="1">
        <f t="shared" si="6"/>
        <v>12.78982186481584</v>
      </c>
      <c r="N37" s="1">
        <f t="shared" si="7"/>
        <v>-18.464975249320229</v>
      </c>
      <c r="O37" s="4">
        <v>200.577224731445</v>
      </c>
      <c r="P37" s="4">
        <f t="shared" si="4"/>
        <v>202.0645143035118</v>
      </c>
      <c r="Q37" s="4">
        <f t="shared" si="8"/>
        <v>198.44927886838377</v>
      </c>
      <c r="R37" s="6" t="b">
        <v>1</v>
      </c>
    </row>
    <row r="38" spans="1:18" s="2" customFormat="1" x14ac:dyDescent="0.25">
      <c r="A38" s="2" t="s">
        <v>36</v>
      </c>
      <c r="B38" s="2">
        <f t="shared" si="0"/>
        <v>69</v>
      </c>
      <c r="C38" s="2">
        <v>36</v>
      </c>
      <c r="D38" s="3">
        <f t="shared" si="2"/>
        <v>220.00000000000026</v>
      </c>
      <c r="E38" s="3">
        <v>212.61350654614299</v>
      </c>
      <c r="F38" s="3">
        <v>213.73532104492099</v>
      </c>
      <c r="G38" s="3"/>
      <c r="H38" s="2">
        <v>3</v>
      </c>
      <c r="I38" s="3">
        <f t="shared" ca="1" si="1"/>
        <v>0.98870335893310368</v>
      </c>
      <c r="J38" s="3">
        <v>0.11554223892688753</v>
      </c>
      <c r="K38" s="3">
        <v>0.11069989068807595</v>
      </c>
      <c r="L38" s="3">
        <v>0.47645312642165361</v>
      </c>
      <c r="M38" s="1">
        <f t="shared" si="6"/>
        <v>2.2139978137615191</v>
      </c>
      <c r="N38" s="1">
        <f t="shared" si="7"/>
        <v>-9.529062528433073</v>
      </c>
      <c r="O38" s="5">
        <v>213.73532104492099</v>
      </c>
      <c r="P38" s="4">
        <f t="shared" si="4"/>
        <v>214.00883244336927</v>
      </c>
      <c r="Q38" s="4">
        <f t="shared" si="8"/>
        <v>212.56211034420227</v>
      </c>
      <c r="R38" s="6" t="b">
        <v>1</v>
      </c>
    </row>
    <row r="39" spans="1:18" x14ac:dyDescent="0.25">
      <c r="A39" t="s">
        <v>37</v>
      </c>
      <c r="B39">
        <f t="shared" si="0"/>
        <v>70</v>
      </c>
      <c r="C39">
        <v>37</v>
      </c>
      <c r="D39" s="1">
        <f t="shared" si="2"/>
        <v>233.08188075904525</v>
      </c>
      <c r="E39" s="1">
        <v>225.40710091529101</v>
      </c>
      <c r="F39" s="1">
        <v>226.46087646484301</v>
      </c>
      <c r="G39" s="1"/>
      <c r="H39">
        <v>3</v>
      </c>
      <c r="I39" s="1">
        <f t="shared" ca="1" si="1"/>
        <v>0.66281591440818188</v>
      </c>
      <c r="J39" s="1">
        <v>0.31841188548655486</v>
      </c>
      <c r="K39" s="1">
        <v>0.27024990619369438</v>
      </c>
      <c r="L39" s="1">
        <v>0.1848571615332617</v>
      </c>
      <c r="M39" s="1">
        <f t="shared" si="6"/>
        <v>5.404998123873888</v>
      </c>
      <c r="N39" s="1">
        <f t="shared" si="7"/>
        <v>-3.6971432306652341</v>
      </c>
      <c r="O39" s="4">
        <v>226.46087646484301</v>
      </c>
      <c r="P39" s="4">
        <f t="shared" si="4"/>
        <v>227.16900332352608</v>
      </c>
      <c r="Q39" s="4">
        <f t="shared" si="8"/>
        <v>225.97777313867655</v>
      </c>
      <c r="R39" s="6" t="b">
        <v>1</v>
      </c>
    </row>
    <row r="40" spans="1:18" x14ac:dyDescent="0.25">
      <c r="A40" t="s">
        <v>38</v>
      </c>
      <c r="B40">
        <f t="shared" si="0"/>
        <v>71</v>
      </c>
      <c r="C40">
        <v>38</v>
      </c>
      <c r="D40" s="1">
        <f t="shared" si="2"/>
        <v>246.94165062806238</v>
      </c>
      <c r="E40" s="1">
        <v>239.40657477779999</v>
      </c>
      <c r="F40" s="1">
        <v>239.99073028564399</v>
      </c>
      <c r="G40" s="1"/>
      <c r="H40">
        <v>3</v>
      </c>
      <c r="I40" s="1">
        <f t="shared" ca="1" si="1"/>
        <v>0.31765041270236094</v>
      </c>
      <c r="J40" s="1">
        <v>0.95481168333473865</v>
      </c>
      <c r="K40" s="1">
        <v>0.49458259285690997</v>
      </c>
      <c r="L40" s="1">
        <v>0.17625060674408999</v>
      </c>
      <c r="M40" s="1">
        <f t="shared" si="6"/>
        <v>9.8916518571381999</v>
      </c>
      <c r="N40" s="1">
        <f t="shared" si="7"/>
        <v>-3.5250121348817998</v>
      </c>
      <c r="O40" s="4">
        <v>239.99073028564399</v>
      </c>
      <c r="P40" s="4">
        <f t="shared" si="4"/>
        <v>241.36587624590499</v>
      </c>
      <c r="Q40" s="4">
        <f t="shared" si="8"/>
        <v>239.50257585623231</v>
      </c>
      <c r="R40" s="6" t="b">
        <v>1</v>
      </c>
    </row>
    <row r="41" spans="1:18" x14ac:dyDescent="0.25">
      <c r="A41" t="s">
        <v>39</v>
      </c>
      <c r="B41">
        <f t="shared" si="0"/>
        <v>72</v>
      </c>
      <c r="C41">
        <v>39</v>
      </c>
      <c r="D41" s="1">
        <f t="shared" si="2"/>
        <v>261.62556530059896</v>
      </c>
      <c r="E41" s="1">
        <v>250.66298310563701</v>
      </c>
      <c r="F41" s="1">
        <v>251.44344329833899</v>
      </c>
      <c r="G41" s="1"/>
      <c r="H41">
        <v>3</v>
      </c>
      <c r="I41" s="1">
        <f t="shared" ca="1" si="1"/>
        <v>0.90948949366360177</v>
      </c>
      <c r="J41" s="1">
        <v>8.031856679977567E-2</v>
      </c>
      <c r="K41" s="1">
        <v>0.43353780366363237</v>
      </c>
      <c r="L41" s="1">
        <v>0.10614219082381715</v>
      </c>
      <c r="M41" s="1">
        <f t="shared" si="6"/>
        <v>8.6707560732726474</v>
      </c>
      <c r="N41" s="1">
        <f t="shared" si="7"/>
        <v>-2.122843816476343</v>
      </c>
      <c r="O41" s="4">
        <v>251.44344329833899</v>
      </c>
      <c r="P41" s="4">
        <f t="shared" si="4"/>
        <v>252.70593786782061</v>
      </c>
      <c r="Q41" s="4">
        <f t="shared" si="8"/>
        <v>251.13531163090519</v>
      </c>
      <c r="R41" s="6" t="b">
        <v>1</v>
      </c>
    </row>
    <row r="42" spans="1:18" x14ac:dyDescent="0.25">
      <c r="A42" t="s">
        <v>40</v>
      </c>
      <c r="B42">
        <f t="shared" si="0"/>
        <v>73</v>
      </c>
      <c r="C42">
        <v>40</v>
      </c>
      <c r="D42" s="1">
        <f t="shared" si="2"/>
        <v>277.18263097687247</v>
      </c>
      <c r="E42" s="1">
        <v>268.85493744800698</v>
      </c>
      <c r="F42" s="1">
        <v>270.76040649414</v>
      </c>
      <c r="G42" s="1"/>
      <c r="H42">
        <v>3</v>
      </c>
      <c r="I42" s="1">
        <f t="shared" ca="1" si="1"/>
        <v>0.68077393578083423</v>
      </c>
      <c r="J42" s="1">
        <v>0.28789730192789598</v>
      </c>
      <c r="K42" s="1">
        <v>0.24908796162423796</v>
      </c>
      <c r="L42" s="1">
        <v>0.68057565437178869</v>
      </c>
      <c r="M42" s="1">
        <f t="shared" si="6"/>
        <v>4.9817592324847588</v>
      </c>
      <c r="N42" s="1">
        <f t="shared" si="7"/>
        <v>-13.611513087435775</v>
      </c>
      <c r="O42" s="4">
        <v>270.76040649414</v>
      </c>
      <c r="P42" s="4">
        <f t="shared" si="4"/>
        <v>271.54066248969417</v>
      </c>
      <c r="Q42" s="4">
        <f t="shared" si="8"/>
        <v>268.63994878421101</v>
      </c>
      <c r="R42" s="6" t="b">
        <v>1</v>
      </c>
    </row>
    <row r="43" spans="1:18" x14ac:dyDescent="0.25">
      <c r="A43" t="s">
        <v>41</v>
      </c>
      <c r="B43">
        <f t="shared" si="0"/>
        <v>74</v>
      </c>
      <c r="C43">
        <v>41</v>
      </c>
      <c r="D43" s="1">
        <f t="shared" si="2"/>
        <v>293.66476791740797</v>
      </c>
      <c r="E43" s="1">
        <v>281.044108328155</v>
      </c>
      <c r="F43" s="1">
        <v>282.017822265625</v>
      </c>
      <c r="G43" s="1"/>
      <c r="H43">
        <v>3</v>
      </c>
      <c r="I43" s="1">
        <f t="shared" ca="1" si="1"/>
        <v>0.88912979212943444</v>
      </c>
      <c r="J43" s="1">
        <v>3.4202223337405857E-2</v>
      </c>
      <c r="K43" s="1">
        <v>0.654545287402583</v>
      </c>
      <c r="L43" s="1">
        <v>0.8455713416359858</v>
      </c>
      <c r="M43" s="1">
        <f t="shared" si="6"/>
        <v>13.090905748051661</v>
      </c>
      <c r="N43" s="1">
        <f t="shared" si="7"/>
        <v>-16.911426832719716</v>
      </c>
      <c r="O43" s="4">
        <v>282.017822265625</v>
      </c>
      <c r="P43" s="4">
        <f t="shared" si="4"/>
        <v>284.15841221383204</v>
      </c>
      <c r="Q43" s="4">
        <f t="shared" si="8"/>
        <v>279.27636448998794</v>
      </c>
      <c r="R43" s="6" t="b">
        <v>1</v>
      </c>
    </row>
    <row r="44" spans="1:18" x14ac:dyDescent="0.25">
      <c r="A44" t="s">
        <v>42</v>
      </c>
      <c r="B44">
        <f t="shared" si="0"/>
        <v>75</v>
      </c>
      <c r="C44">
        <v>42</v>
      </c>
      <c r="D44" s="1">
        <f t="shared" si="2"/>
        <v>311.12698372208138</v>
      </c>
      <c r="E44" s="1">
        <v>298.88161644086802</v>
      </c>
      <c r="F44" s="1">
        <v>300.59477233886702</v>
      </c>
      <c r="G44" s="1"/>
      <c r="H44">
        <v>3</v>
      </c>
      <c r="I44" s="1">
        <f t="shared" ca="1" si="1"/>
        <v>0.7456827643281605</v>
      </c>
      <c r="J44" s="1">
        <v>0.75137997257622746</v>
      </c>
      <c r="K44" s="1">
        <v>0.26534979449869867</v>
      </c>
      <c r="L44" s="1">
        <v>7.6285677247242889E-2</v>
      </c>
      <c r="M44" s="1">
        <f t="shared" si="6"/>
        <v>5.3069958899739733</v>
      </c>
      <c r="N44" s="1">
        <f t="shared" si="7"/>
        <v>-1.5257135449448578</v>
      </c>
      <c r="O44" s="4">
        <v>300.59477233886702</v>
      </c>
      <c r="P44" s="4">
        <f t="shared" si="4"/>
        <v>301.51764166606728</v>
      </c>
      <c r="Q44" s="4">
        <f t="shared" si="8"/>
        <v>300.3299788600329</v>
      </c>
      <c r="R44" s="6" t="b">
        <v>1</v>
      </c>
    </row>
    <row r="45" spans="1:18" x14ac:dyDescent="0.25">
      <c r="A45" t="s">
        <v>43</v>
      </c>
      <c r="B45">
        <f t="shared" si="0"/>
        <v>76</v>
      </c>
      <c r="C45">
        <v>43</v>
      </c>
      <c r="D45" s="1">
        <f t="shared" si="2"/>
        <v>329.62755691287043</v>
      </c>
      <c r="E45" s="1">
        <v>311.43870308391399</v>
      </c>
      <c r="F45" s="1">
        <v>312.96795654296801</v>
      </c>
      <c r="G45" s="1"/>
      <c r="H45">
        <v>3</v>
      </c>
      <c r="I45" s="1">
        <f t="shared" ca="1" si="1"/>
        <v>0.34226609849247192</v>
      </c>
      <c r="J45" s="1">
        <v>0.24929124293029947</v>
      </c>
      <c r="K45" s="1">
        <v>0.97657493291899333</v>
      </c>
      <c r="L45" s="1">
        <v>4.3867188586101391E-2</v>
      </c>
      <c r="M45" s="1">
        <f t="shared" si="6"/>
        <v>19.531498658379867</v>
      </c>
      <c r="N45" s="1">
        <f t="shared" si="7"/>
        <v>-0.87734377172202782</v>
      </c>
      <c r="O45" s="4">
        <v>312.96795654296801</v>
      </c>
      <c r="P45" s="4">
        <f t="shared" si="4"/>
        <v>316.51880207504036</v>
      </c>
      <c r="Q45" s="4">
        <f t="shared" si="8"/>
        <v>312.80939281540901</v>
      </c>
      <c r="R45" s="6" t="b">
        <v>1</v>
      </c>
    </row>
    <row r="46" spans="1:18" x14ac:dyDescent="0.25">
      <c r="A46" t="s">
        <v>44</v>
      </c>
      <c r="B46">
        <f t="shared" si="0"/>
        <v>77</v>
      </c>
      <c r="C46">
        <v>44</v>
      </c>
      <c r="D46" s="1">
        <f t="shared" si="2"/>
        <v>349.22823143300445</v>
      </c>
      <c r="E46" s="1">
        <v>338.09395069244999</v>
      </c>
      <c r="F46" s="1">
        <v>341.12612915039</v>
      </c>
      <c r="G46" s="1"/>
      <c r="H46">
        <v>3</v>
      </c>
      <c r="I46" s="1">
        <f t="shared" ca="1" si="1"/>
        <v>0.63571276741561911</v>
      </c>
      <c r="J46" s="1">
        <v>0.29804160612107455</v>
      </c>
      <c r="K46" s="1">
        <v>0.60873351406551313</v>
      </c>
      <c r="L46" s="1">
        <v>0.76125632793777509</v>
      </c>
      <c r="M46" s="1">
        <f t="shared" si="6"/>
        <v>12.174670281310263</v>
      </c>
      <c r="N46" s="1">
        <f t="shared" si="7"/>
        <v>-15.225126558755502</v>
      </c>
      <c r="O46" s="4">
        <v>341.12612915039</v>
      </c>
      <c r="P46" s="4">
        <f t="shared" si="4"/>
        <v>343.53350757058212</v>
      </c>
      <c r="Q46" s="4">
        <f t="shared" si="8"/>
        <v>338.13928998645872</v>
      </c>
      <c r="R46" s="6" t="b">
        <v>1</v>
      </c>
    </row>
    <row r="47" spans="1:18" x14ac:dyDescent="0.25">
      <c r="A47" t="s">
        <v>45</v>
      </c>
      <c r="B47">
        <f t="shared" si="0"/>
        <v>78</v>
      </c>
      <c r="C47">
        <v>45</v>
      </c>
      <c r="D47" s="1">
        <f t="shared" si="2"/>
        <v>369.99442271163502</v>
      </c>
      <c r="E47" s="1">
        <v>357.68585618336903</v>
      </c>
      <c r="F47" s="1">
        <v>359.42364501953102</v>
      </c>
      <c r="G47" s="1"/>
      <c r="H47">
        <v>3</v>
      </c>
      <c r="I47" s="1">
        <f t="shared" ca="1" si="1"/>
        <v>3.4125052041183324E-2</v>
      </c>
      <c r="J47" s="1">
        <v>0.20769494057005744</v>
      </c>
      <c r="K47" s="1">
        <v>0.63376500954570403</v>
      </c>
      <c r="L47" s="1">
        <v>3.7670712395264982E-2</v>
      </c>
      <c r="M47" s="1">
        <f t="shared" si="6"/>
        <v>12.675300190914081</v>
      </c>
      <c r="N47" s="1">
        <f t="shared" si="7"/>
        <v>-0.75341424790529965</v>
      </c>
      <c r="O47" s="4">
        <v>359.42364501953102</v>
      </c>
      <c r="P47" s="4">
        <f t="shared" si="4"/>
        <v>362.06483678806535</v>
      </c>
      <c r="Q47" s="4">
        <f t="shared" si="8"/>
        <v>359.26726178504788</v>
      </c>
      <c r="R47" s="6" t="b">
        <v>1</v>
      </c>
    </row>
    <row r="48" spans="1:18" x14ac:dyDescent="0.25">
      <c r="A48" t="s">
        <v>46</v>
      </c>
      <c r="B48">
        <f t="shared" si="0"/>
        <v>79</v>
      </c>
      <c r="C48">
        <v>46</v>
      </c>
      <c r="D48" s="1">
        <f t="shared" si="2"/>
        <v>391.99543598174995</v>
      </c>
      <c r="E48" s="1">
        <v>379.94199290908199</v>
      </c>
      <c r="F48" s="1">
        <v>380.88848876953102</v>
      </c>
      <c r="G48" s="1"/>
      <c r="H48">
        <v>3</v>
      </c>
      <c r="I48" s="1">
        <f t="shared" ca="1" si="1"/>
        <v>0.44279430352008675</v>
      </c>
      <c r="J48" s="1">
        <v>0.54190990267350281</v>
      </c>
      <c r="K48" s="1">
        <v>0.19051162375429764</v>
      </c>
      <c r="L48" s="1">
        <v>0.63522657994024678</v>
      </c>
      <c r="M48" s="1">
        <f t="shared" si="6"/>
        <v>3.8102324750859529</v>
      </c>
      <c r="N48" s="1">
        <f t="shared" si="7"/>
        <v>-12.704531598804936</v>
      </c>
      <c r="O48" s="4">
        <v>380.88848876953102</v>
      </c>
      <c r="P48" s="4">
        <f t="shared" si="4"/>
        <v>381.72770048645009</v>
      </c>
      <c r="Q48" s="4">
        <f t="shared" si="8"/>
        <v>378.10359793375494</v>
      </c>
      <c r="R48" s="6" t="b">
        <v>1</v>
      </c>
    </row>
    <row r="49" spans="1:22" x14ac:dyDescent="0.25">
      <c r="A49" t="s">
        <v>47</v>
      </c>
      <c r="B49">
        <f t="shared" si="0"/>
        <v>80</v>
      </c>
      <c r="C49">
        <v>47</v>
      </c>
      <c r="D49" s="1">
        <f t="shared" si="2"/>
        <v>415.30469757994587</v>
      </c>
      <c r="E49" s="1">
        <v>400.50488549297199</v>
      </c>
      <c r="F49" s="1">
        <v>401.34313964843699</v>
      </c>
      <c r="G49" s="1"/>
      <c r="H49">
        <v>3</v>
      </c>
      <c r="I49" s="1">
        <f t="shared" ca="1" si="1"/>
        <v>0.36099792579284518</v>
      </c>
      <c r="J49" s="1">
        <v>0.87041312176130292</v>
      </c>
      <c r="K49" s="1">
        <v>5.8991949985899406E-2</v>
      </c>
      <c r="L49" s="1">
        <v>0.35037973793511346</v>
      </c>
      <c r="M49" s="1">
        <f t="shared" si="6"/>
        <v>1.1798389997179881</v>
      </c>
      <c r="N49" s="1">
        <f t="shared" si="7"/>
        <v>-7.0075947587022691</v>
      </c>
      <c r="O49" s="4">
        <v>401.34313964843699</v>
      </c>
      <c r="P49" s="4">
        <f t="shared" si="4"/>
        <v>401.61674891449206</v>
      </c>
      <c r="Q49" s="4">
        <f t="shared" si="8"/>
        <v>399.72188819803682</v>
      </c>
      <c r="R49" s="6" t="b">
        <v>1</v>
      </c>
    </row>
    <row r="50" spans="1:22" s="2" customFormat="1" x14ac:dyDescent="0.25">
      <c r="A50" s="2" t="s">
        <v>48</v>
      </c>
      <c r="B50" s="2">
        <f t="shared" si="0"/>
        <v>81</v>
      </c>
      <c r="C50" s="2">
        <v>48</v>
      </c>
      <c r="D50" s="3">
        <f>D49*POWER(2,1/12)</f>
        <v>440.0000000000008</v>
      </c>
      <c r="E50" s="3">
        <v>421.181716564635</v>
      </c>
      <c r="F50" s="3">
        <v>422.569091796875</v>
      </c>
      <c r="G50" s="3"/>
      <c r="H50" s="2">
        <v>3</v>
      </c>
      <c r="I50" s="3">
        <f t="shared" ca="1" si="1"/>
        <v>0.81237916240368058</v>
      </c>
      <c r="J50" s="3">
        <v>0.44462156059686397</v>
      </c>
      <c r="K50" s="3">
        <v>0.35258070799866403</v>
      </c>
      <c r="L50" s="3">
        <v>0.78408469457294572</v>
      </c>
      <c r="M50" s="1">
        <f t="shared" si="6"/>
        <v>7.0516141599732807</v>
      </c>
      <c r="N50" s="1">
        <f t="shared" si="7"/>
        <v>-15.681693891458915</v>
      </c>
      <c r="O50" s="5">
        <v>422.569091796875</v>
      </c>
      <c r="P50" s="4">
        <f t="shared" si="4"/>
        <v>424.29379854464622</v>
      </c>
      <c r="Q50" s="4">
        <f t="shared" si="8"/>
        <v>418.75870153912246</v>
      </c>
      <c r="R50" s="6" t="b">
        <v>1</v>
      </c>
    </row>
    <row r="51" spans="1:22" x14ac:dyDescent="0.25">
      <c r="A51" t="s">
        <v>49</v>
      </c>
      <c r="B51">
        <f t="shared" si="0"/>
        <v>82</v>
      </c>
      <c r="C51">
        <v>49</v>
      </c>
      <c r="D51" s="1">
        <f t="shared" si="2"/>
        <v>466.16376151809078</v>
      </c>
      <c r="E51" s="1">
        <v>446.75647736189802</v>
      </c>
      <c r="F51" s="1">
        <v>450.22381591796801</v>
      </c>
      <c r="G51" s="1"/>
      <c r="H51">
        <v>3</v>
      </c>
      <c r="I51" s="1">
        <f t="shared" ca="1" si="1"/>
        <v>4.2292003883626084E-4</v>
      </c>
      <c r="J51" s="1">
        <v>0.30973338762642155</v>
      </c>
      <c r="K51" s="1">
        <v>0.73917578002689599</v>
      </c>
      <c r="L51" s="1">
        <v>0.43345090154623611</v>
      </c>
      <c r="M51" s="1">
        <f t="shared" si="6"/>
        <v>14.783515600537919</v>
      </c>
      <c r="N51" s="1">
        <f t="shared" si="7"/>
        <v>-8.6690180309247218</v>
      </c>
      <c r="O51" s="4">
        <v>450.22381591796801</v>
      </c>
      <c r="P51" s="4">
        <f t="shared" si="4"/>
        <v>454.08487108616765</v>
      </c>
      <c r="Q51" s="4">
        <f t="shared" si="8"/>
        <v>447.97499075634863</v>
      </c>
      <c r="R51" s="6" t="b">
        <v>1</v>
      </c>
    </row>
    <row r="52" spans="1:22" x14ac:dyDescent="0.25">
      <c r="A52" t="s">
        <v>50</v>
      </c>
      <c r="B52">
        <f t="shared" si="0"/>
        <v>83</v>
      </c>
      <c r="C52">
        <v>50</v>
      </c>
      <c r="D52" s="1">
        <f>D51*POWER(2,1/12)</f>
        <v>493.88330125612504</v>
      </c>
      <c r="E52" s="1">
        <v>476.78483437764999</v>
      </c>
      <c r="F52" s="1">
        <v>478.39596557617102</v>
      </c>
      <c r="G52" s="1"/>
      <c r="H52">
        <v>3</v>
      </c>
      <c r="I52" s="1">
        <f t="shared" ca="1" si="1"/>
        <v>1.9310191972376267E-2</v>
      </c>
      <c r="J52" s="1">
        <v>0.33572986621031309</v>
      </c>
      <c r="K52" s="1">
        <v>0.61752225878501299</v>
      </c>
      <c r="L52" s="1">
        <v>0.41583584392780015</v>
      </c>
      <c r="M52" s="1">
        <f t="shared" si="6"/>
        <v>12.35044517570026</v>
      </c>
      <c r="N52" s="1">
        <f t="shared" si="7"/>
        <v>-8.3167168785560026</v>
      </c>
      <c r="O52" s="4">
        <v>478.39596557617102</v>
      </c>
      <c r="P52" s="4">
        <f t="shared" si="4"/>
        <v>481.82099544013039</v>
      </c>
      <c r="Q52" s="4">
        <f t="shared" si="8"/>
        <v>476.1032990005217</v>
      </c>
      <c r="R52" s="6" t="b">
        <v>1</v>
      </c>
    </row>
    <row r="53" spans="1:22" x14ac:dyDescent="0.25">
      <c r="A53" t="s">
        <v>51</v>
      </c>
      <c r="B53">
        <f t="shared" si="0"/>
        <v>84</v>
      </c>
      <c r="C53">
        <v>51</v>
      </c>
      <c r="D53" s="1">
        <f t="shared" si="2"/>
        <v>523.25113060119827</v>
      </c>
      <c r="E53" s="1">
        <v>502.944324093918</v>
      </c>
      <c r="F53" s="1">
        <v>505.330474853515</v>
      </c>
      <c r="G53" s="1"/>
      <c r="H53">
        <v>3</v>
      </c>
      <c r="I53" s="1">
        <f t="shared" ca="1" si="1"/>
        <v>0.13363238928110688</v>
      </c>
      <c r="J53" s="1">
        <v>0.47666603290839527</v>
      </c>
      <c r="K53" s="1">
        <v>0.3660913829397362</v>
      </c>
      <c r="L53" s="1">
        <v>0.20193204755624883</v>
      </c>
      <c r="M53" s="1">
        <f t="shared" si="6"/>
        <v>7.3218276587947244</v>
      </c>
      <c r="N53" s="1">
        <f t="shared" si="7"/>
        <v>-4.038640951124977</v>
      </c>
      <c r="O53" s="4">
        <v>505.330474853515</v>
      </c>
      <c r="P53" s="4">
        <f t="shared" si="4"/>
        <v>507.47217122834553</v>
      </c>
      <c r="Q53" s="4">
        <f t="shared" si="8"/>
        <v>504.15300855746682</v>
      </c>
      <c r="R53" s="6" t="b">
        <v>1</v>
      </c>
    </row>
    <row r="54" spans="1:22" x14ac:dyDescent="0.25">
      <c r="A54" t="s">
        <v>52</v>
      </c>
      <c r="B54">
        <f t="shared" si="0"/>
        <v>85</v>
      </c>
      <c r="C54">
        <v>52</v>
      </c>
      <c r="D54" s="1">
        <f t="shared" si="2"/>
        <v>554.36526195374529</v>
      </c>
      <c r="E54" s="1">
        <v>515.40620232399999</v>
      </c>
      <c r="F54" s="1">
        <v>517.26461791992097</v>
      </c>
      <c r="G54" s="1"/>
      <c r="H54">
        <v>3</v>
      </c>
      <c r="I54" s="1">
        <f t="shared" ca="1" si="1"/>
        <v>0.14741100793269801</v>
      </c>
      <c r="J54" s="1">
        <v>0.48145241570552633</v>
      </c>
      <c r="K54" s="1">
        <v>0.99553310746775481</v>
      </c>
      <c r="L54" s="1">
        <v>0.95345588316502283</v>
      </c>
      <c r="M54" s="1">
        <f t="shared" si="6"/>
        <v>19.910662149355097</v>
      </c>
      <c r="N54" s="1">
        <f t="shared" si="7"/>
        <v>-19.069117663300457</v>
      </c>
      <c r="O54" s="4">
        <v>517.26461791992097</v>
      </c>
      <c r="P54" s="4">
        <f t="shared" si="4"/>
        <v>523.24794111173696</v>
      </c>
      <c r="Q54" s="4">
        <f t="shared" si="8"/>
        <v>511.59833887624148</v>
      </c>
      <c r="R54" s="6" t="b">
        <v>1</v>
      </c>
    </row>
    <row r="55" spans="1:22" x14ac:dyDescent="0.25">
      <c r="A55" t="s">
        <v>53</v>
      </c>
      <c r="B55">
        <f t="shared" si="0"/>
        <v>86</v>
      </c>
      <c r="C55">
        <v>53</v>
      </c>
      <c r="D55" s="1">
        <f t="shared" si="2"/>
        <v>587.32953583481628</v>
      </c>
      <c r="E55" s="1">
        <v>545.95243321699604</v>
      </c>
      <c r="F55" s="1">
        <v>548.1640625</v>
      </c>
      <c r="G55" s="1"/>
      <c r="H55">
        <v>3</v>
      </c>
      <c r="I55" s="1">
        <f t="shared" ca="1" si="1"/>
        <v>8.1865056310597151E-3</v>
      </c>
      <c r="J55" s="1">
        <v>2.1936151067853737E-2</v>
      </c>
      <c r="K55" s="1">
        <v>0.73823120246506813</v>
      </c>
      <c r="L55" s="1">
        <v>0.19985120376841981</v>
      </c>
      <c r="M55" s="1">
        <f t="shared" si="6"/>
        <v>14.764624049301363</v>
      </c>
      <c r="N55" s="1">
        <f t="shared" si="7"/>
        <v>-3.9970240753683961</v>
      </c>
      <c r="O55" s="4">
        <v>548.1640625</v>
      </c>
      <c r="P55" s="4">
        <f t="shared" si="4"/>
        <v>552.85900630597666</v>
      </c>
      <c r="Q55" s="4">
        <f t="shared" si="8"/>
        <v>546.89993670863328</v>
      </c>
      <c r="R55" s="6" t="b">
        <v>1</v>
      </c>
    </row>
    <row r="56" spans="1:22" x14ac:dyDescent="0.25">
      <c r="A56" t="s">
        <v>54</v>
      </c>
      <c r="B56">
        <f t="shared" si="0"/>
        <v>87</v>
      </c>
      <c r="C56">
        <v>54</v>
      </c>
      <c r="D56" s="1">
        <f t="shared" si="2"/>
        <v>622.2539674441631</v>
      </c>
      <c r="E56" s="1">
        <v>590.70649597421004</v>
      </c>
      <c r="F56" s="1">
        <v>594.32931518554597</v>
      </c>
      <c r="G56" s="1"/>
      <c r="H56">
        <v>3</v>
      </c>
      <c r="I56" s="1">
        <f t="shared" ca="1" si="1"/>
        <v>0.47255980731559155</v>
      </c>
      <c r="J56" s="1">
        <v>0.96738747112235823</v>
      </c>
      <c r="K56" s="1">
        <v>0.88826786003068536</v>
      </c>
      <c r="L56" s="1">
        <v>0.8377689175667653</v>
      </c>
      <c r="M56" s="1">
        <f t="shared" si="6"/>
        <v>17.765357200613707</v>
      </c>
      <c r="N56" s="1">
        <f t="shared" si="7"/>
        <v>-16.755378351335306</v>
      </c>
      <c r="O56" s="4">
        <v>594.32931518554597</v>
      </c>
      <c r="P56" s="4">
        <f t="shared" si="4"/>
        <v>600.45952742386817</v>
      </c>
      <c r="Q56" s="4">
        <f t="shared" si="8"/>
        <v>588.60497166344032</v>
      </c>
      <c r="R56" s="6" t="b">
        <v>1</v>
      </c>
    </row>
    <row r="57" spans="1:22" x14ac:dyDescent="0.25">
      <c r="A57" t="s">
        <v>55</v>
      </c>
      <c r="B57">
        <f t="shared" si="0"/>
        <v>88</v>
      </c>
      <c r="C57">
        <v>55</v>
      </c>
      <c r="D57" s="1">
        <f t="shared" si="2"/>
        <v>659.2551138257412</v>
      </c>
      <c r="E57" s="1">
        <v>629.86386880288205</v>
      </c>
      <c r="F57" s="1">
        <v>632.85357666015602</v>
      </c>
      <c r="G57" s="1"/>
      <c r="H57">
        <v>3</v>
      </c>
      <c r="I57" s="1">
        <f t="shared" ca="1" si="1"/>
        <v>0.53243308681141055</v>
      </c>
      <c r="J57" s="1">
        <v>0.14523634205494529</v>
      </c>
      <c r="K57" s="1">
        <v>0.1721967144883878</v>
      </c>
      <c r="L57" s="1">
        <v>0.48695450870607049</v>
      </c>
      <c r="M57" s="1">
        <f t="shared" si="6"/>
        <v>3.4439342897677561</v>
      </c>
      <c r="N57" s="1">
        <f t="shared" si="7"/>
        <v>-9.7390901741214098</v>
      </c>
      <c r="O57" s="4">
        <v>632.85357666015602</v>
      </c>
      <c r="P57" s="4">
        <f t="shared" si="4"/>
        <v>634.1137617935143</v>
      </c>
      <c r="Q57" s="4">
        <f t="shared" si="8"/>
        <v>629.30344182816452</v>
      </c>
      <c r="R57" s="6" t="b">
        <v>1</v>
      </c>
    </row>
    <row r="58" spans="1:22" x14ac:dyDescent="0.25">
      <c r="A58" t="s">
        <v>56</v>
      </c>
      <c r="B58">
        <f t="shared" si="0"/>
        <v>89</v>
      </c>
      <c r="C58">
        <v>56</v>
      </c>
      <c r="D58" s="1">
        <f t="shared" si="2"/>
        <v>698.45646286600925</v>
      </c>
      <c r="E58" s="1">
        <v>664.17918314640497</v>
      </c>
      <c r="F58" s="1">
        <v>667.36047363281205</v>
      </c>
      <c r="G58" s="1"/>
      <c r="H58">
        <v>3</v>
      </c>
      <c r="I58" s="1">
        <f t="shared" ca="1" si="1"/>
        <v>1.412334423926731E-2</v>
      </c>
      <c r="J58" s="1">
        <v>0.49371279074193153</v>
      </c>
      <c r="K58" s="1">
        <v>0.4252190405247176</v>
      </c>
      <c r="L58" s="1">
        <v>0.39756108894473707</v>
      </c>
      <c r="M58" s="1">
        <f t="shared" si="6"/>
        <v>8.5043808104943519</v>
      </c>
      <c r="N58" s="1">
        <f t="shared" si="7"/>
        <v>-7.951221778894741</v>
      </c>
      <c r="O58" s="4">
        <v>667.36047363281205</v>
      </c>
      <c r="P58" s="4">
        <f t="shared" si="4"/>
        <v>670.64682903730795</v>
      </c>
      <c r="Q58" s="4">
        <f t="shared" si="8"/>
        <v>664.30244442252001</v>
      </c>
      <c r="R58" s="6" t="b">
        <v>1</v>
      </c>
    </row>
    <row r="59" spans="1:22" x14ac:dyDescent="0.25">
      <c r="A59" t="s">
        <v>57</v>
      </c>
      <c r="B59">
        <f t="shared" si="0"/>
        <v>90</v>
      </c>
      <c r="C59">
        <v>57</v>
      </c>
      <c r="D59" s="1">
        <f t="shared" si="2"/>
        <v>739.98884542327039</v>
      </c>
      <c r="E59" s="1">
        <v>704.87810965105803</v>
      </c>
      <c r="F59" s="1">
        <v>706.65289306640602</v>
      </c>
      <c r="G59" s="1"/>
      <c r="H59">
        <v>3</v>
      </c>
      <c r="I59" s="1">
        <f t="shared" ca="1" si="1"/>
        <v>0.12694048615834808</v>
      </c>
      <c r="J59" s="1">
        <v>6.0955510652993095E-2</v>
      </c>
      <c r="K59" s="1">
        <v>0.44069686416327858</v>
      </c>
      <c r="L59" s="1">
        <v>0.64052630807057698</v>
      </c>
      <c r="M59" s="1">
        <f t="shared" si="6"/>
        <v>8.813937283265572</v>
      </c>
      <c r="N59" s="1">
        <f t="shared" si="7"/>
        <v>-12.81052616141154</v>
      </c>
      <c r="O59" s="4">
        <v>706.65289306640602</v>
      </c>
      <c r="P59" s="4">
        <f t="shared" si="4"/>
        <v>710.25972832148466</v>
      </c>
      <c r="Q59" s="4">
        <f t="shared" si="8"/>
        <v>701.44320762894893</v>
      </c>
      <c r="R59" s="6" t="b">
        <v>1</v>
      </c>
    </row>
    <row r="60" spans="1:22" x14ac:dyDescent="0.25">
      <c r="A60" t="s">
        <v>58</v>
      </c>
      <c r="B60">
        <f t="shared" si="0"/>
        <v>91</v>
      </c>
      <c r="C60">
        <v>58</v>
      </c>
      <c r="D60" s="1">
        <f t="shared" si="2"/>
        <v>783.99087196350035</v>
      </c>
      <c r="E60" s="1">
        <v>746.5260852742</v>
      </c>
      <c r="F60" s="1">
        <v>748.64080810546795</v>
      </c>
      <c r="G60" s="1"/>
      <c r="H60">
        <v>3</v>
      </c>
      <c r="I60" s="1">
        <f t="shared" ca="1" si="1"/>
        <v>4.9916945011469482E-2</v>
      </c>
      <c r="J60" s="1">
        <v>0.84017437083578261</v>
      </c>
      <c r="K60" s="1">
        <v>0.62805893899792598</v>
      </c>
      <c r="L60" s="1">
        <v>0.11508193479496243</v>
      </c>
      <c r="M60" s="1">
        <f t="shared" si="6"/>
        <v>12.561178779958519</v>
      </c>
      <c r="N60" s="1">
        <f t="shared" si="7"/>
        <v>-2.3016386958992485</v>
      </c>
      <c r="O60" s="4">
        <v>748.64080810546795</v>
      </c>
      <c r="P60" s="4">
        <f t="shared" si="4"/>
        <v>754.09241584322444</v>
      </c>
      <c r="Q60" s="4">
        <f t="shared" si="8"/>
        <v>747.64616746235845</v>
      </c>
      <c r="R60" s="6" t="b">
        <v>0</v>
      </c>
    </row>
    <row r="61" spans="1:22" x14ac:dyDescent="0.25">
      <c r="A61" t="s">
        <v>59</v>
      </c>
      <c r="B61">
        <f t="shared" si="0"/>
        <v>92</v>
      </c>
      <c r="C61">
        <v>59</v>
      </c>
      <c r="D61" s="1">
        <f t="shared" si="2"/>
        <v>830.60939515989219</v>
      </c>
      <c r="E61" s="1">
        <v>798.29809382725603</v>
      </c>
      <c r="F61" s="1">
        <v>802.35629272460903</v>
      </c>
      <c r="G61" s="1"/>
      <c r="H61">
        <v>3</v>
      </c>
      <c r="I61" s="1">
        <f t="shared" ca="1" si="1"/>
        <v>0.33876477552386175</v>
      </c>
      <c r="J61" s="1">
        <v>0.44700201828882691</v>
      </c>
      <c r="K61" s="1">
        <v>0.92370139032589582</v>
      </c>
      <c r="L61" s="1">
        <v>0.71711195165064001</v>
      </c>
      <c r="M61" s="1">
        <f t="shared" si="6"/>
        <v>18.474027806517917</v>
      </c>
      <c r="N61" s="1">
        <f t="shared" si="7"/>
        <v>-14.342239033012801</v>
      </c>
      <c r="O61" s="4">
        <v>802.35629272460903</v>
      </c>
      <c r="P61" s="4">
        <f t="shared" si="4"/>
        <v>810.96409561314806</v>
      </c>
      <c r="Q61" s="4">
        <f t="shared" si="8"/>
        <v>795.73670805888105</v>
      </c>
      <c r="R61" s="6" t="b">
        <v>1</v>
      </c>
      <c r="V61" s="12"/>
    </row>
    <row r="62" spans="1:22" s="2" customFormat="1" x14ac:dyDescent="0.25">
      <c r="A62" s="2" t="s">
        <v>60</v>
      </c>
      <c r="B62" s="2">
        <f t="shared" si="0"/>
        <v>93</v>
      </c>
      <c r="C62" s="2">
        <v>60</v>
      </c>
      <c r="D62" s="3">
        <f t="shared" si="2"/>
        <v>880.00000000000205</v>
      </c>
      <c r="E62" s="3">
        <v>847.76849238695002</v>
      </c>
      <c r="F62" s="3">
        <v>849.85186767578102</v>
      </c>
      <c r="G62" s="3">
        <v>856</v>
      </c>
      <c r="H62" s="2">
        <v>3</v>
      </c>
      <c r="I62" s="3">
        <f t="shared" ca="1" si="1"/>
        <v>0.50317954696862388</v>
      </c>
      <c r="J62" s="3">
        <v>0.31652505396822705</v>
      </c>
      <c r="K62" s="3">
        <v>0.53612967434850756</v>
      </c>
      <c r="L62" s="3">
        <v>0.43729524521024443</v>
      </c>
      <c r="M62" s="1">
        <f t="shared" si="6"/>
        <v>10.722593486970151</v>
      </c>
      <c r="N62" s="1">
        <f t="shared" si="7"/>
        <v>-8.7459049042048882</v>
      </c>
      <c r="O62" s="5">
        <v>849.85186767578102</v>
      </c>
      <c r="P62" s="4">
        <f t="shared" si="4"/>
        <v>855.13185536198148</v>
      </c>
      <c r="Q62" s="4">
        <f t="shared" si="8"/>
        <v>845.56938446203333</v>
      </c>
      <c r="R62" s="6" t="b">
        <v>0</v>
      </c>
    </row>
    <row r="63" spans="1:22" x14ac:dyDescent="0.25">
      <c r="A63" t="s">
        <v>61</v>
      </c>
      <c r="B63">
        <f t="shared" si="0"/>
        <v>94</v>
      </c>
      <c r="C63">
        <v>61</v>
      </c>
      <c r="D63" s="1">
        <f t="shared" si="2"/>
        <v>932.32752303618201</v>
      </c>
      <c r="E63" s="1">
        <v>900.87832748388303</v>
      </c>
      <c r="F63" s="1">
        <v>905.08139038085903</v>
      </c>
      <c r="G63" s="1"/>
      <c r="H63">
        <v>3</v>
      </c>
      <c r="I63" s="1">
        <f t="shared" ca="1" si="1"/>
        <v>0.13176976849376321</v>
      </c>
      <c r="J63" s="1">
        <v>0.53012209637953223</v>
      </c>
      <c r="K63" s="1">
        <v>0.28478531384688677</v>
      </c>
      <c r="L63" s="1">
        <v>0.50268423347609958</v>
      </c>
      <c r="M63" s="1">
        <f t="shared" si="6"/>
        <v>5.6957062769377353</v>
      </c>
      <c r="N63" s="1">
        <f t="shared" si="7"/>
        <v>-10.053684669521992</v>
      </c>
      <c r="O63" s="4">
        <v>905.08139038085903</v>
      </c>
      <c r="P63" s="4">
        <f t="shared" si="4"/>
        <v>908.06398368725331</v>
      </c>
      <c r="Q63" s="4">
        <f t="shared" si="8"/>
        <v>899.84060113888506</v>
      </c>
      <c r="R63" s="6" t="b">
        <v>1</v>
      </c>
    </row>
    <row r="64" spans="1:22" x14ac:dyDescent="0.25">
      <c r="A64" t="s">
        <v>62</v>
      </c>
      <c r="B64">
        <f t="shared" si="0"/>
        <v>95</v>
      </c>
      <c r="C64">
        <v>62</v>
      </c>
      <c r="D64" s="1">
        <f t="shared" si="2"/>
        <v>987.76660251225053</v>
      </c>
      <c r="E64" s="1">
        <v>938.01079609756698</v>
      </c>
      <c r="F64" s="1">
        <v>942.76617431640602</v>
      </c>
      <c r="G64" s="1"/>
      <c r="H64">
        <v>3</v>
      </c>
      <c r="I64" s="1">
        <f t="shared" ca="1" si="1"/>
        <v>8.8117381976754228E-2</v>
      </c>
      <c r="J64" s="1">
        <v>0.53385962079543314</v>
      </c>
      <c r="K64" s="1">
        <v>0.75234602906444237</v>
      </c>
      <c r="L64" s="1">
        <v>0.20254856495622919</v>
      </c>
      <c r="M64" s="1">
        <f t="shared" si="6"/>
        <v>15.046920581288848</v>
      </c>
      <c r="N64" s="1">
        <f t="shared" si="7"/>
        <v>-4.0509712991245834</v>
      </c>
      <c r="O64" s="4">
        <v>942.76617431640602</v>
      </c>
      <c r="P64" s="4">
        <f t="shared" si="4"/>
        <v>950.9958841960165</v>
      </c>
      <c r="Q64" s="4">
        <f t="shared" si="8"/>
        <v>940.56274378744047</v>
      </c>
      <c r="R64" s="6" t="b">
        <v>1</v>
      </c>
    </row>
    <row r="65" spans="1:19" x14ac:dyDescent="0.25">
      <c r="A65" t="s">
        <v>63</v>
      </c>
      <c r="B65">
        <f t="shared" si="0"/>
        <v>96</v>
      </c>
      <c r="C65">
        <v>63</v>
      </c>
      <c r="D65" s="1">
        <f t="shared" si="2"/>
        <v>1046.502261202397</v>
      </c>
      <c r="E65" s="1">
        <v>1016.30556256871</v>
      </c>
      <c r="F65" s="1">
        <v>1016.8302307128901</v>
      </c>
      <c r="G65" s="1"/>
      <c r="H65">
        <v>3</v>
      </c>
      <c r="I65" s="1">
        <f t="shared" ca="1" si="1"/>
        <v>0.49106920803790322</v>
      </c>
      <c r="J65" s="1">
        <v>0.34141394558349558</v>
      </c>
      <c r="K65" s="1">
        <v>2.662679901777909E-2</v>
      </c>
      <c r="L65" s="1">
        <v>0.79531951000327972</v>
      </c>
      <c r="M65" s="1">
        <f t="shared" si="6"/>
        <v>0.53253598035558181</v>
      </c>
      <c r="N65" s="1">
        <f t="shared" si="7"/>
        <v>-15.906390200065594</v>
      </c>
      <c r="O65" s="4">
        <v>1016.8302307128901</v>
      </c>
      <c r="P65" s="4">
        <f t="shared" si="4"/>
        <v>1017.14306072938</v>
      </c>
      <c r="Q65" s="4">
        <f t="shared" si="8"/>
        <v>1007.5304930272263</v>
      </c>
      <c r="R65" s="6" t="b">
        <v>1</v>
      </c>
    </row>
    <row r="66" spans="1:19" x14ac:dyDescent="0.25">
      <c r="A66" t="s">
        <v>64</v>
      </c>
      <c r="B66">
        <f t="shared" si="0"/>
        <v>97</v>
      </c>
      <c r="C66">
        <v>64</v>
      </c>
      <c r="D66" s="1">
        <f t="shared" si="2"/>
        <v>1108.730523907491</v>
      </c>
      <c r="E66" s="1">
        <v>1062.47821662618</v>
      </c>
      <c r="F66" s="1">
        <v>1064.78637695312</v>
      </c>
      <c r="G66" s="1"/>
      <c r="H66">
        <v>3</v>
      </c>
      <c r="I66" s="1">
        <f t="shared" ca="1" si="1"/>
        <v>0.68133107564760298</v>
      </c>
      <c r="J66" s="1">
        <v>0.40078027153445561</v>
      </c>
      <c r="K66" s="1">
        <v>0.72447397308415906</v>
      </c>
      <c r="L66" s="1">
        <v>0.61139765198955198</v>
      </c>
      <c r="M66" s="1">
        <f t="shared" si="6"/>
        <v>14.489479461683182</v>
      </c>
      <c r="N66" s="1">
        <f t="shared" si="7"/>
        <v>-12.227953039791039</v>
      </c>
      <c r="O66" s="4">
        <v>1064.78637695312</v>
      </c>
      <c r="P66" s="4">
        <f t="shared" si="4"/>
        <v>1073.7354521123375</v>
      </c>
      <c r="Q66" s="4">
        <f t="shared" si="8"/>
        <v>1057.2921364873773</v>
      </c>
      <c r="R66" s="6" t="b">
        <v>1</v>
      </c>
    </row>
    <row r="67" spans="1:19" x14ac:dyDescent="0.25">
      <c r="A67" t="s">
        <v>65</v>
      </c>
      <c r="B67">
        <f t="shared" ref="B67:B86" si="9">C67+33</f>
        <v>98</v>
      </c>
      <c r="C67">
        <v>65</v>
      </c>
      <c r="D67" s="1">
        <f t="shared" si="2"/>
        <v>1174.659071669633</v>
      </c>
      <c r="E67" s="1">
        <v>1134.5271353835799</v>
      </c>
      <c r="F67" s="1">
        <v>1128.6564331054601</v>
      </c>
      <c r="G67" s="1"/>
      <c r="H67">
        <v>3</v>
      </c>
      <c r="I67" s="1">
        <f t="shared" ref="I67:I86" ca="1" si="10">RAND()</f>
        <v>0.36907410411329411</v>
      </c>
      <c r="J67" s="1">
        <v>0.53035394079898279</v>
      </c>
      <c r="K67" s="1">
        <v>0.35117151458018248</v>
      </c>
      <c r="L67" s="1">
        <v>0.83058345688459012</v>
      </c>
      <c r="M67" s="1">
        <f t="shared" si="6"/>
        <v>7.0234302916036491</v>
      </c>
      <c r="N67" s="1">
        <f t="shared" si="7"/>
        <v>-16.611669137691802</v>
      </c>
      <c r="O67" s="4">
        <v>1128.6564331054601</v>
      </c>
      <c r="P67" s="4">
        <f t="shared" si="4"/>
        <v>1133.2445713329914</v>
      </c>
      <c r="Q67" s="4">
        <f t="shared" si="8"/>
        <v>1117.8784542549768</v>
      </c>
      <c r="R67" s="6" t="b">
        <v>1</v>
      </c>
    </row>
    <row r="68" spans="1:19" x14ac:dyDescent="0.25">
      <c r="A68" t="s">
        <v>66</v>
      </c>
      <c r="B68">
        <f t="shared" si="9"/>
        <v>99</v>
      </c>
      <c r="C68">
        <v>66</v>
      </c>
      <c r="D68" s="1">
        <f t="shared" ref="D68:D86" si="11">D67*POWER(2,1/12)</f>
        <v>1244.5079348883266</v>
      </c>
      <c r="E68" s="1">
        <v>1200.72759153989</v>
      </c>
      <c r="F68" s="1">
        <v>1200.7982788085901</v>
      </c>
      <c r="G68" s="1"/>
      <c r="H68">
        <v>3</v>
      </c>
      <c r="I68" s="1">
        <f t="shared" ca="1" si="10"/>
        <v>0.14483536062676239</v>
      </c>
      <c r="J68" s="1">
        <v>0.85066202920853051</v>
      </c>
      <c r="K68" s="1">
        <v>0.33226705916502342</v>
      </c>
      <c r="L68" s="1">
        <v>0.21079165540672007</v>
      </c>
      <c r="M68" s="1">
        <f t="shared" si="6"/>
        <v>6.6453411833004683</v>
      </c>
      <c r="N68" s="1">
        <f t="shared" si="7"/>
        <v>-4.2158331081344009</v>
      </c>
      <c r="O68" s="4">
        <v>1200.7982788085901</v>
      </c>
      <c r="P68" s="4">
        <f t="shared" si="4"/>
        <v>1205.4164001646793</v>
      </c>
      <c r="Q68" s="4">
        <f t="shared" si="8"/>
        <v>1197.8776995219937</v>
      </c>
      <c r="R68" s="6" t="b">
        <v>1</v>
      </c>
    </row>
    <row r="69" spans="1:19" x14ac:dyDescent="0.25">
      <c r="A69" t="s">
        <v>67</v>
      </c>
      <c r="B69">
        <f t="shared" si="9"/>
        <v>100</v>
      </c>
      <c r="C69">
        <v>67</v>
      </c>
      <c r="D69" s="1">
        <f t="shared" si="11"/>
        <v>1318.5102276514829</v>
      </c>
      <c r="E69" s="1">
        <v>1294.81572510926</v>
      </c>
      <c r="F69" s="1">
        <v>1283.1427612304601</v>
      </c>
      <c r="G69" s="1"/>
      <c r="H69">
        <v>3</v>
      </c>
      <c r="I69" s="1">
        <f t="shared" ca="1" si="10"/>
        <v>3.7777004980383166E-2</v>
      </c>
      <c r="J69" s="1">
        <v>0.79564237282474648</v>
      </c>
      <c r="K69" s="1">
        <v>0.34780831106863841</v>
      </c>
      <c r="L69" s="1">
        <v>0.82768486148133014</v>
      </c>
      <c r="M69" s="1">
        <f t="shared" si="6"/>
        <v>6.9561662213727686</v>
      </c>
      <c r="N69" s="1">
        <f t="shared" si="7"/>
        <v>-16.553697229626604</v>
      </c>
      <c r="O69" s="4">
        <v>1283.1427612304601</v>
      </c>
      <c r="P69" s="4">
        <f t="shared" si="4"/>
        <v>1288.3088509306258</v>
      </c>
      <c r="Q69" s="4">
        <f t="shared" si="8"/>
        <v>1270.9320899788111</v>
      </c>
      <c r="R69" s="6" t="b">
        <v>1</v>
      </c>
    </row>
    <row r="70" spans="1:19" x14ac:dyDescent="0.25">
      <c r="A70" t="s">
        <v>68</v>
      </c>
      <c r="B70">
        <f t="shared" si="9"/>
        <v>101</v>
      </c>
      <c r="C70">
        <v>68</v>
      </c>
      <c r="D70" s="1">
        <f t="shared" si="11"/>
        <v>1396.9129257320189</v>
      </c>
      <c r="E70" s="1">
        <v>1343.7723561999801</v>
      </c>
      <c r="F70" s="1">
        <v>1341.02954101562</v>
      </c>
      <c r="G70" s="1"/>
      <c r="H70">
        <v>3</v>
      </c>
      <c r="I70" s="1">
        <f t="shared" ca="1" si="10"/>
        <v>0.15343984233438057</v>
      </c>
      <c r="J70" s="1">
        <v>0.52318313122964144</v>
      </c>
      <c r="K70" s="1">
        <v>6.6005904292473216E-2</v>
      </c>
      <c r="L70" s="1">
        <v>0.53567411681663346</v>
      </c>
      <c r="M70" s="1">
        <f t="shared" si="6"/>
        <v>1.3201180858494643</v>
      </c>
      <c r="N70" s="1">
        <f t="shared" si="7"/>
        <v>-10.713482336332669</v>
      </c>
      <c r="O70" s="4">
        <v>1341.02954101562</v>
      </c>
      <c r="P70" s="4">
        <f t="shared" si="4"/>
        <v>1342.0525063873094</v>
      </c>
      <c r="Q70" s="4">
        <f t="shared" si="8"/>
        <v>1332.7564057020174</v>
      </c>
      <c r="R70" s="6" t="b">
        <v>1</v>
      </c>
    </row>
    <row r="71" spans="1:19" x14ac:dyDescent="0.25">
      <c r="A71" t="s">
        <v>69</v>
      </c>
      <c r="B71">
        <f t="shared" si="9"/>
        <v>102</v>
      </c>
      <c r="C71">
        <v>69</v>
      </c>
      <c r="D71" s="1">
        <f t="shared" si="11"/>
        <v>1479.9776908465412</v>
      </c>
      <c r="E71" s="1">
        <v>1443.04346655564</v>
      </c>
      <c r="F71" s="1">
        <v>1442.1290893554601</v>
      </c>
      <c r="G71" s="1"/>
      <c r="H71">
        <v>3</v>
      </c>
      <c r="I71" s="1">
        <f t="shared" ca="1" si="10"/>
        <v>0.43941792273990432</v>
      </c>
      <c r="J71" s="1">
        <v>0.6522303144676761</v>
      </c>
      <c r="K71" s="1">
        <v>0.72969113406390407</v>
      </c>
      <c r="L71" s="1">
        <v>0.15108683324153849</v>
      </c>
      <c r="M71" s="1">
        <f t="shared" si="6"/>
        <v>14.59382268127808</v>
      </c>
      <c r="N71" s="1">
        <f t="shared" si="7"/>
        <v>-3.0217366648307697</v>
      </c>
      <c r="O71" s="4">
        <v>1442.1290893554601</v>
      </c>
      <c r="P71" s="4">
        <f t="shared" si="4"/>
        <v>1454.3372207295963</v>
      </c>
      <c r="Q71" s="4">
        <f t="shared" si="8"/>
        <v>1439.614158741259</v>
      </c>
      <c r="R71" s="6" t="b">
        <v>1</v>
      </c>
    </row>
    <row r="72" spans="1:19" x14ac:dyDescent="0.25">
      <c r="A72" t="s">
        <v>70</v>
      </c>
      <c r="B72">
        <f t="shared" si="9"/>
        <v>103</v>
      </c>
      <c r="C72">
        <v>70</v>
      </c>
      <c r="D72" s="1">
        <f t="shared" si="11"/>
        <v>1567.9817439270012</v>
      </c>
      <c r="E72" s="1">
        <v>1533.74407579119</v>
      </c>
      <c r="F72" s="1">
        <v>1532.4273071289001</v>
      </c>
      <c r="G72" s="1"/>
      <c r="H72">
        <v>3</v>
      </c>
      <c r="I72" s="1">
        <f t="shared" ca="1" si="10"/>
        <v>6.642021500749129E-2</v>
      </c>
      <c r="J72" s="1">
        <v>0.1769121737174616</v>
      </c>
      <c r="K72" s="1">
        <v>0.90403514997337375</v>
      </c>
      <c r="L72" s="1">
        <v>0.73539560038427354</v>
      </c>
      <c r="M72" s="1">
        <f t="shared" si="6"/>
        <v>18.080702999467476</v>
      </c>
      <c r="N72" s="1">
        <f t="shared" si="7"/>
        <v>-14.70791200768547</v>
      </c>
      <c r="O72" s="4">
        <v>1532.4273071289001</v>
      </c>
      <c r="P72" s="4">
        <f t="shared" si="4"/>
        <v>1548.5155728585698</v>
      </c>
      <c r="Q72" s="4">
        <f t="shared" si="8"/>
        <v>1519.4635279371678</v>
      </c>
      <c r="R72" s="6" t="b">
        <v>1</v>
      </c>
    </row>
    <row r="73" spans="1:19" x14ac:dyDescent="0.25">
      <c r="A73" t="s">
        <v>71</v>
      </c>
      <c r="B73">
        <f t="shared" si="9"/>
        <v>104</v>
      </c>
      <c r="C73">
        <v>71</v>
      </c>
      <c r="D73" s="1">
        <f t="shared" si="11"/>
        <v>1661.2187903197848</v>
      </c>
      <c r="E73" s="1">
        <v>1546.0040358892099</v>
      </c>
      <c r="F73" s="1">
        <v>1609.13317871093</v>
      </c>
      <c r="G73" s="1"/>
      <c r="H73">
        <v>3</v>
      </c>
      <c r="I73" s="1">
        <f t="shared" ca="1" si="10"/>
        <v>0.25408034020413395</v>
      </c>
      <c r="J73" s="1">
        <v>0.30880539019051378</v>
      </c>
      <c r="K73" s="1">
        <v>0.32304626886746146</v>
      </c>
      <c r="L73" s="1">
        <v>0.98246586445317508</v>
      </c>
      <c r="M73" s="1">
        <f t="shared" si="6"/>
        <v>6.4609253773492288</v>
      </c>
      <c r="N73" s="1">
        <f t="shared" si="7"/>
        <v>-19.6493172890635</v>
      </c>
      <c r="O73" s="4">
        <v>1609.13317871093</v>
      </c>
      <c r="P73" s="4">
        <f t="shared" si="4"/>
        <v>1615.1496461434783</v>
      </c>
      <c r="Q73" s="4">
        <f t="shared" si="8"/>
        <v>1590.9729462355738</v>
      </c>
      <c r="R73" s="6" t="b">
        <v>1</v>
      </c>
    </row>
    <row r="74" spans="1:19" s="2" customFormat="1" x14ac:dyDescent="0.25">
      <c r="A74" s="2" t="s">
        <v>72</v>
      </c>
      <c r="B74" s="2">
        <f t="shared" si="9"/>
        <v>105</v>
      </c>
      <c r="C74" s="2">
        <v>72</v>
      </c>
      <c r="D74" s="3">
        <f t="shared" si="11"/>
        <v>1760.0000000000045</v>
      </c>
      <c r="E74" s="3">
        <v>596.112441925555</v>
      </c>
      <c r="F74" s="3">
        <v>531.51971435546795</v>
      </c>
      <c r="G74" s="3">
        <v>1755</v>
      </c>
      <c r="H74" s="2">
        <v>3</v>
      </c>
      <c r="I74" s="3">
        <f t="shared" ca="1" si="10"/>
        <v>0.489193422571637</v>
      </c>
      <c r="J74" s="3">
        <v>7.0262423465566881E-3</v>
      </c>
      <c r="K74" s="3">
        <v>0.80825759071388992</v>
      </c>
      <c r="L74" s="3">
        <v>0.69277155182306638</v>
      </c>
      <c r="M74" s="1">
        <f t="shared" si="6"/>
        <v>16.165151814277799</v>
      </c>
      <c r="N74" s="1">
        <f t="shared" si="7"/>
        <v>-13.855431036461328</v>
      </c>
      <c r="O74" s="7">
        <v>1755</v>
      </c>
      <c r="P74" s="7">
        <v>1828.52</v>
      </c>
      <c r="Q74" s="7">
        <f>531.52*3</f>
        <v>1594.56</v>
      </c>
      <c r="R74" s="6" t="b">
        <v>0</v>
      </c>
      <c r="S74" s="2" t="s">
        <v>98</v>
      </c>
    </row>
    <row r="75" spans="1:19" x14ac:dyDescent="0.25">
      <c r="A75" t="s">
        <v>73</v>
      </c>
      <c r="B75">
        <f t="shared" si="9"/>
        <v>106</v>
      </c>
      <c r="C75">
        <v>73</v>
      </c>
      <c r="D75" s="1">
        <f t="shared" si="11"/>
        <v>1864.6550460723645</v>
      </c>
      <c r="E75" s="1">
        <v>1794.6674145843599</v>
      </c>
      <c r="F75" s="1">
        <v>1828.5154418945301</v>
      </c>
      <c r="G75" s="1"/>
      <c r="H75">
        <v>3</v>
      </c>
      <c r="I75" s="1">
        <f t="shared" ca="1" si="10"/>
        <v>0.36129622857889898</v>
      </c>
      <c r="J75" s="1">
        <v>0.88853308433958678</v>
      </c>
      <c r="K75" s="1">
        <v>0.97817788873359868</v>
      </c>
      <c r="L75" s="1">
        <v>0.33869377237107878</v>
      </c>
      <c r="M75" s="1">
        <f t="shared" si="6"/>
        <v>19.563557774671974</v>
      </c>
      <c r="N75" s="1">
        <f t="shared" si="7"/>
        <v>-6.7738754474215757</v>
      </c>
      <c r="O75" s="4">
        <v>1828.5154418945301</v>
      </c>
      <c r="P75" s="4">
        <f t="shared" si="4"/>
        <v>1849.295503752938</v>
      </c>
      <c r="Q75" s="4">
        <f t="shared" si="8"/>
        <v>1821.3749079219292</v>
      </c>
      <c r="R75" s="6" t="b">
        <v>1</v>
      </c>
    </row>
    <row r="76" spans="1:19" x14ac:dyDescent="0.25">
      <c r="A76" t="s">
        <v>74</v>
      </c>
      <c r="B76">
        <f t="shared" si="9"/>
        <v>107</v>
      </c>
      <c r="C76">
        <v>74</v>
      </c>
      <c r="D76" s="1">
        <f t="shared" si="11"/>
        <v>1975.5332050245017</v>
      </c>
      <c r="E76" s="1">
        <v>1972.43525204087</v>
      </c>
      <c r="F76" s="1">
        <v>1987.3062133789001</v>
      </c>
      <c r="G76" s="1"/>
      <c r="H76">
        <v>3</v>
      </c>
      <c r="I76" s="1">
        <f t="shared" ca="1" si="10"/>
        <v>0.91216691404975736</v>
      </c>
      <c r="J76" s="1">
        <v>5.3317692872198341E-2</v>
      </c>
      <c r="K76" s="1">
        <v>2.2595845353655997E-2</v>
      </c>
      <c r="L76" s="1">
        <v>0.10148495437132865</v>
      </c>
      <c r="M76" s="1">
        <f t="shared" si="6"/>
        <v>0.45191690707311993</v>
      </c>
      <c r="N76" s="1">
        <f t="shared" si="7"/>
        <v>-2.029699087426573</v>
      </c>
      <c r="O76" s="4">
        <v>1987.3062133789001</v>
      </c>
      <c r="P76" s="4">
        <f t="shared" si="4"/>
        <v>1987.825042422581</v>
      </c>
      <c r="Q76" s="4">
        <f t="shared" si="8"/>
        <v>1984.9776605079983</v>
      </c>
      <c r="R76" s="6" t="b">
        <v>1</v>
      </c>
    </row>
    <row r="77" spans="1:19" x14ac:dyDescent="0.25">
      <c r="A77" t="s">
        <v>75</v>
      </c>
      <c r="B77">
        <f t="shared" si="9"/>
        <v>108</v>
      </c>
      <c r="C77">
        <v>75</v>
      </c>
      <c r="D77" s="1">
        <f t="shared" si="11"/>
        <v>2093.0045224047949</v>
      </c>
      <c r="E77" s="1">
        <v>2026.8672242482501</v>
      </c>
      <c r="F77" s="1">
        <v>2019.15991210937</v>
      </c>
      <c r="G77" s="1"/>
      <c r="H77">
        <v>3</v>
      </c>
      <c r="I77" s="1">
        <f t="shared" ca="1" si="10"/>
        <v>0.20565318932651522</v>
      </c>
      <c r="J77" s="1">
        <v>0.97119500744358966</v>
      </c>
      <c r="K77" s="1">
        <v>0.71522842488098948</v>
      </c>
      <c r="L77" s="1">
        <v>0.48321978653063347</v>
      </c>
      <c r="M77" s="1">
        <f t="shared" si="6"/>
        <v>14.30456849761979</v>
      </c>
      <c r="N77" s="1">
        <f t="shared" si="7"/>
        <v>-9.6643957306126698</v>
      </c>
      <c r="O77" s="4">
        <v>2019.15991210937</v>
      </c>
      <c r="P77" s="4">
        <f t="shared" si="4"/>
        <v>2035.9126246864644</v>
      </c>
      <c r="Q77" s="4">
        <f t="shared" si="8"/>
        <v>2007.9196095381144</v>
      </c>
      <c r="R77" s="6" t="b">
        <v>1</v>
      </c>
    </row>
    <row r="78" spans="1:19" x14ac:dyDescent="0.25">
      <c r="A78" t="s">
        <v>76</v>
      </c>
      <c r="B78">
        <f t="shared" si="9"/>
        <v>109</v>
      </c>
      <c r="C78">
        <v>76</v>
      </c>
      <c r="D78" s="1">
        <f t="shared" si="11"/>
        <v>2217.461047814983</v>
      </c>
      <c r="E78" s="1">
        <v>2194.16237548038</v>
      </c>
      <c r="F78" s="1">
        <v>2194.4295654296802</v>
      </c>
      <c r="G78" s="1"/>
      <c r="H78">
        <v>3</v>
      </c>
      <c r="I78" s="1">
        <f t="shared" ca="1" si="10"/>
        <v>0.88345543538092075</v>
      </c>
      <c r="J78" s="1">
        <v>0.52211652903954087</v>
      </c>
      <c r="K78" s="1">
        <v>0.66645910670098163</v>
      </c>
      <c r="L78" s="1">
        <v>0.70543357506788551</v>
      </c>
      <c r="M78" s="1">
        <f t="shared" si="6"/>
        <v>13.329182134019632</v>
      </c>
      <c r="N78" s="1">
        <f t="shared" si="7"/>
        <v>-14.10867150135771</v>
      </c>
      <c r="O78" s="4">
        <v>2194.4295654296802</v>
      </c>
      <c r="P78" s="4">
        <f t="shared" si="4"/>
        <v>2211.3902080840971</v>
      </c>
      <c r="Q78" s="4">
        <f t="shared" si="8"/>
        <v>2176.6187605671389</v>
      </c>
      <c r="R78" s="6" t="b">
        <v>1</v>
      </c>
    </row>
    <row r="79" spans="1:19" s="2" customFormat="1" x14ac:dyDescent="0.25">
      <c r="A79" s="2" t="s">
        <v>77</v>
      </c>
      <c r="B79" s="2">
        <f t="shared" si="9"/>
        <v>110</v>
      </c>
      <c r="C79" s="2">
        <v>77</v>
      </c>
      <c r="D79" s="3">
        <f t="shared" si="11"/>
        <v>2349.318143339267</v>
      </c>
      <c r="E79" s="3">
        <v>2217.4604682823601</v>
      </c>
      <c r="F79" s="3">
        <v>2217.46044921875</v>
      </c>
      <c r="G79" s="3">
        <v>2305</v>
      </c>
      <c r="H79" s="2">
        <v>3</v>
      </c>
      <c r="I79" s="3">
        <f t="shared" ca="1" si="10"/>
        <v>0.32949290982026613</v>
      </c>
      <c r="J79" s="3">
        <v>0.95623160343086033</v>
      </c>
      <c r="K79" s="3">
        <v>0.40105748538528363</v>
      </c>
      <c r="L79" s="3">
        <v>0.19704191396058779</v>
      </c>
      <c r="M79" s="1">
        <f t="shared" si="6"/>
        <v>8.021149707705673</v>
      </c>
      <c r="N79" s="1">
        <f t="shared" si="7"/>
        <v>-3.9408382792117558</v>
      </c>
      <c r="O79" s="5">
        <v>2305</v>
      </c>
      <c r="P79" s="4">
        <f t="shared" si="4"/>
        <v>2315.7042992418019</v>
      </c>
      <c r="Q79" s="4">
        <f t="shared" si="8"/>
        <v>2299.7590555630659</v>
      </c>
      <c r="R79" s="6" t="b">
        <v>1</v>
      </c>
    </row>
    <row r="80" spans="1:19" s="2" customFormat="1" x14ac:dyDescent="0.25">
      <c r="A80" s="2" t="s">
        <v>78</v>
      </c>
      <c r="B80" s="2">
        <f t="shared" si="9"/>
        <v>111</v>
      </c>
      <c r="C80" s="2">
        <v>78</v>
      </c>
      <c r="D80" s="3">
        <f t="shared" si="11"/>
        <v>2489.0158697766542</v>
      </c>
      <c r="E80" s="3">
        <v>2217.4604544161198</v>
      </c>
      <c r="F80" s="3">
        <v>2217.46044921875</v>
      </c>
      <c r="G80" s="3">
        <v>2485</v>
      </c>
      <c r="H80" s="2">
        <v>3</v>
      </c>
      <c r="I80" s="3">
        <f t="shared" ca="1" si="10"/>
        <v>0.94319617681722712</v>
      </c>
      <c r="J80" s="3">
        <v>0.45354809280436537</v>
      </c>
      <c r="K80" s="3">
        <v>0.83723158142108645</v>
      </c>
      <c r="L80" s="3">
        <v>0.78865301281529998</v>
      </c>
      <c r="M80" s="1">
        <f t="shared" si="6"/>
        <v>16.744631628421729</v>
      </c>
      <c r="N80" s="1">
        <f t="shared" si="7"/>
        <v>-15.773060256306</v>
      </c>
      <c r="O80" s="5">
        <v>2485</v>
      </c>
      <c r="P80" s="4">
        <f t="shared" ref="P80:P86" si="12">O80*POWER(2,M80/1200)</f>
        <v>2509.1517254899318</v>
      </c>
      <c r="Q80" s="4">
        <f t="shared" si="8"/>
        <v>2462.4622959988237</v>
      </c>
      <c r="R80" s="6" t="b">
        <v>1</v>
      </c>
    </row>
    <row r="81" spans="1:18" s="2" customFormat="1" x14ac:dyDescent="0.25">
      <c r="A81" s="2" t="s">
        <v>79</v>
      </c>
      <c r="B81" s="2">
        <f t="shared" si="9"/>
        <v>112</v>
      </c>
      <c r="C81" s="2">
        <v>79</v>
      </c>
      <c r="D81" s="3">
        <f t="shared" si="11"/>
        <v>2637.0204553029671</v>
      </c>
      <c r="E81" s="3">
        <v>2217.46044787558</v>
      </c>
      <c r="F81" s="3">
        <v>2217.46044921875</v>
      </c>
      <c r="G81" s="3">
        <v>2615</v>
      </c>
      <c r="H81" s="2">
        <v>3</v>
      </c>
      <c r="I81" s="3">
        <f t="shared" ca="1" si="10"/>
        <v>0.16012056653041906</v>
      </c>
      <c r="J81" s="3">
        <v>0.75719309588544415</v>
      </c>
      <c r="K81" s="3">
        <v>6.0663882198474739E-2</v>
      </c>
      <c r="L81" s="3">
        <v>0.54203132431343615</v>
      </c>
      <c r="M81" s="1">
        <f t="shared" si="6"/>
        <v>1.2132776439694948</v>
      </c>
      <c r="N81" s="1">
        <f t="shared" si="7"/>
        <v>-10.840626486268723</v>
      </c>
      <c r="O81" s="5">
        <v>2615</v>
      </c>
      <c r="P81" s="4">
        <f t="shared" si="12"/>
        <v>2616.833277856515</v>
      </c>
      <c r="Q81" s="4">
        <f t="shared" si="8"/>
        <v>2598.6765757548851</v>
      </c>
      <c r="R81" s="6" t="b">
        <v>1</v>
      </c>
    </row>
    <row r="82" spans="1:18" s="2" customFormat="1" x14ac:dyDescent="0.25">
      <c r="A82" s="2" t="s">
        <v>80</v>
      </c>
      <c r="B82" s="2">
        <f t="shared" si="9"/>
        <v>113</v>
      </c>
      <c r="C82" s="2">
        <v>80</v>
      </c>
      <c r="D82" s="3">
        <f t="shared" si="11"/>
        <v>2793.8258514640393</v>
      </c>
      <c r="E82" s="3">
        <v>2217.4604514952198</v>
      </c>
      <c r="F82" s="3">
        <v>2217.46044921875</v>
      </c>
      <c r="G82" s="3">
        <v>2752</v>
      </c>
      <c r="H82" s="2">
        <v>3</v>
      </c>
      <c r="I82" s="3">
        <f t="shared" ca="1" si="10"/>
        <v>9.6023986112198423E-2</v>
      </c>
      <c r="J82" s="3">
        <v>0.84627429963901324</v>
      </c>
      <c r="K82" s="3">
        <v>0.87050559748462075</v>
      </c>
      <c r="L82" s="3">
        <v>0.38138846210217769</v>
      </c>
      <c r="M82" s="1">
        <f t="shared" si="6"/>
        <v>17.410111949692414</v>
      </c>
      <c r="N82" s="1">
        <f t="shared" si="7"/>
        <v>-7.6277692420435539</v>
      </c>
      <c r="O82" s="5">
        <v>2752</v>
      </c>
      <c r="P82" s="4">
        <f t="shared" si="12"/>
        <v>2779.8150454632555</v>
      </c>
      <c r="Q82" s="4">
        <f t="shared" si="8"/>
        <v>2739.9014368060039</v>
      </c>
      <c r="R82" s="6" t="b">
        <v>1</v>
      </c>
    </row>
    <row r="83" spans="1:18" s="2" customFormat="1" x14ac:dyDescent="0.25">
      <c r="A83" s="2" t="s">
        <v>81</v>
      </c>
      <c r="B83" s="2">
        <f t="shared" si="9"/>
        <v>114</v>
      </c>
      <c r="C83" s="2">
        <v>81</v>
      </c>
      <c r="D83" s="3">
        <f t="shared" si="11"/>
        <v>2959.9553816930838</v>
      </c>
      <c r="E83" s="3">
        <v>2217.46041135818</v>
      </c>
      <c r="F83" s="3">
        <v>2217.46044921875</v>
      </c>
      <c r="G83" s="3">
        <v>2925</v>
      </c>
      <c r="H83" s="2">
        <v>3</v>
      </c>
      <c r="I83" s="3">
        <f t="shared" ca="1" si="10"/>
        <v>0.42406699110621815</v>
      </c>
      <c r="J83" s="3">
        <v>0.50928280494223221</v>
      </c>
      <c r="K83" s="3">
        <v>0.79948145667057235</v>
      </c>
      <c r="L83" s="3">
        <v>0.32567084905121479</v>
      </c>
      <c r="M83" s="1">
        <f t="shared" si="6"/>
        <v>15.989629133411448</v>
      </c>
      <c r="N83" s="1">
        <f t="shared" si="7"/>
        <v>-6.5134169810242959</v>
      </c>
      <c r="O83" s="5">
        <v>2925</v>
      </c>
      <c r="P83" s="4">
        <f t="shared" si="12"/>
        <v>2952.1403588500875</v>
      </c>
      <c r="Q83" s="4">
        <f t="shared" si="8"/>
        <v>2914.0159563227512</v>
      </c>
      <c r="R83" s="6" t="b">
        <v>1</v>
      </c>
    </row>
    <row r="84" spans="1:18" s="2" customFormat="1" x14ac:dyDescent="0.25">
      <c r="A84" s="2" t="s">
        <v>82</v>
      </c>
      <c r="B84" s="2">
        <f t="shared" si="9"/>
        <v>115</v>
      </c>
      <c r="C84" s="2">
        <v>82</v>
      </c>
      <c r="D84" s="3">
        <f t="shared" si="11"/>
        <v>3135.9634878540037</v>
      </c>
      <c r="E84" s="3">
        <v>2217.4604174123201</v>
      </c>
      <c r="F84" s="3">
        <v>2217.46044921875</v>
      </c>
      <c r="G84" s="3">
        <v>3075</v>
      </c>
      <c r="H84" s="2">
        <v>3</v>
      </c>
      <c r="I84" s="3">
        <f t="shared" ca="1" si="10"/>
        <v>3.2081776556919572E-2</v>
      </c>
      <c r="J84" s="3">
        <v>0.85529069266003699</v>
      </c>
      <c r="K84" s="3">
        <v>0.81499550217740224</v>
      </c>
      <c r="L84" s="3">
        <v>0.51288849882731657</v>
      </c>
      <c r="M84" s="1">
        <f t="shared" si="6"/>
        <v>16.299910043548046</v>
      </c>
      <c r="N84" s="1">
        <f t="shared" si="7"/>
        <v>-10.257769976546331</v>
      </c>
      <c r="O84" s="5">
        <v>3075</v>
      </c>
      <c r="P84" s="4">
        <f t="shared" si="12"/>
        <v>3104.0884534006182</v>
      </c>
      <c r="Q84" s="4">
        <f t="shared" si="8"/>
        <v>3056.83412577441</v>
      </c>
      <c r="R84" s="6" t="b">
        <v>1</v>
      </c>
    </row>
    <row r="85" spans="1:18" s="2" customFormat="1" x14ac:dyDescent="0.25">
      <c r="A85" s="2" t="s">
        <v>83</v>
      </c>
      <c r="B85" s="2">
        <f t="shared" si="9"/>
        <v>116</v>
      </c>
      <c r="C85" s="2">
        <v>83</v>
      </c>
      <c r="D85" s="3">
        <f t="shared" si="11"/>
        <v>3322.437580639571</v>
      </c>
      <c r="E85" s="3">
        <v>2217.4604443769199</v>
      </c>
      <c r="F85" s="3">
        <v>2217.46044921875</v>
      </c>
      <c r="G85" s="3">
        <v>3285</v>
      </c>
      <c r="H85" s="2">
        <v>3</v>
      </c>
      <c r="I85" s="3">
        <f t="shared" ca="1" si="10"/>
        <v>0.64942467643757107</v>
      </c>
      <c r="J85" s="3">
        <v>0.84761148551526466</v>
      </c>
      <c r="K85" s="3">
        <v>0.19754803058005188</v>
      </c>
      <c r="L85" s="3">
        <v>3.8087411755016731E-2</v>
      </c>
      <c r="M85" s="1">
        <f t="shared" si="6"/>
        <v>3.9509606116010376</v>
      </c>
      <c r="N85" s="1">
        <f t="shared" si="7"/>
        <v>-0.76174823510033463</v>
      </c>
      <c r="O85" s="5">
        <v>3285</v>
      </c>
      <c r="P85" s="4">
        <f t="shared" si="12"/>
        <v>3292.5054709596352</v>
      </c>
      <c r="Q85" s="4">
        <f t="shared" si="8"/>
        <v>3283.5549079772654</v>
      </c>
      <c r="R85" s="6" t="b">
        <v>1</v>
      </c>
    </row>
    <row r="86" spans="1:18" s="2" customFormat="1" x14ac:dyDescent="0.25">
      <c r="A86" s="2" t="s">
        <v>84</v>
      </c>
      <c r="B86" s="2">
        <f t="shared" si="9"/>
        <v>117</v>
      </c>
      <c r="C86" s="2">
        <v>84</v>
      </c>
      <c r="D86" s="3">
        <f t="shared" si="11"/>
        <v>3520.0000000000105</v>
      </c>
      <c r="E86" s="3">
        <v>2217.46026782433</v>
      </c>
      <c r="F86" s="3">
        <v>2217.46020507812</v>
      </c>
      <c r="G86" s="3">
        <v>3455</v>
      </c>
      <c r="H86" s="2">
        <v>3</v>
      </c>
      <c r="I86" s="3">
        <f t="shared" ca="1" si="10"/>
        <v>0.3809475217127678</v>
      </c>
      <c r="J86" s="3">
        <v>7.1234154753825774E-2</v>
      </c>
      <c r="K86" s="3">
        <v>0.82233242992308864</v>
      </c>
      <c r="L86" s="3">
        <v>0.86050295239688057</v>
      </c>
      <c r="M86" s="1">
        <f t="shared" si="6"/>
        <v>16.446648598461774</v>
      </c>
      <c r="N86" s="1">
        <f t="shared" si="7"/>
        <v>-17.210059047937612</v>
      </c>
      <c r="O86" s="5">
        <v>3455</v>
      </c>
      <c r="P86" s="4">
        <f t="shared" si="12"/>
        <v>3487.978750916322</v>
      </c>
      <c r="Q86" s="4">
        <f t="shared" si="8"/>
        <v>3420.8242721983493</v>
      </c>
      <c r="R86" s="6" t="b">
        <v>1</v>
      </c>
    </row>
    <row r="87" spans="1:18" x14ac:dyDescent="0.25">
      <c r="I87" s="1"/>
      <c r="J87" s="1"/>
      <c r="K87" s="1"/>
      <c r="L87" s="1"/>
      <c r="O87" s="1"/>
      <c r="P87" s="1"/>
      <c r="Q87" s="1"/>
      <c r="R87" s="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20</xdr:col>
                    <xdr:colOff>38100</xdr:colOff>
                    <xdr:row>6</xdr:row>
                    <xdr:rowOff>47625</xdr:rowOff>
                  </from>
                  <to>
                    <xdr:col>21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pitch tracking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Giacomo Ascari</dc:creator>
  <cp:lastModifiedBy>Giacomo Ascari</cp:lastModifiedBy>
  <dcterms:created xsi:type="dcterms:W3CDTF">2015-06-05T18:19:34Z</dcterms:created>
  <dcterms:modified xsi:type="dcterms:W3CDTF">2024-04-28T14:54:47Z</dcterms:modified>
</cp:coreProperties>
</file>